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APHRC\R_Work\CIPSE Analysis\data\"/>
    </mc:Choice>
  </mc:AlternateContent>
  <xr:revisionPtr revIDLastSave="0" documentId="8_{4DDB8F16-1984-4290-8716-BBC10E33B724}" xr6:coauthVersionLast="47" xr6:coauthVersionMax="47" xr10:uidLastSave="{00000000-0000-0000-0000-000000000000}"/>
  <bookViews>
    <workbookView xWindow="28680" yWindow="-120" windowWidth="29040" windowHeight="15720" xr2:uid="{00000000-000D-0000-FFFF-FFFF00000000}"/>
  </bookViews>
  <sheets>
    <sheet name="CTF" sheetId="1" r:id="rId1"/>
    <sheet name="CHECK" sheetId="2" state="hidden" r:id="rId2"/>
    <sheet name="STAT" sheetId="3" r:id="rId3"/>
    <sheet name="About"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3" l="1"/>
  <c r="J18" i="3" s="1"/>
  <c r="H18" i="3"/>
  <c r="U14" i="3"/>
  <c r="T14" i="3"/>
  <c r="S14" i="3"/>
  <c r="R14" i="3"/>
  <c r="Q14" i="3"/>
  <c r="P14" i="3"/>
  <c r="O14" i="3"/>
  <c r="N14" i="3"/>
  <c r="M14" i="3"/>
  <c r="L14" i="3"/>
  <c r="K14" i="3"/>
  <c r="J14" i="3"/>
  <c r="I14" i="3"/>
  <c r="H14" i="3"/>
  <c r="G14" i="3"/>
  <c r="E14" i="3"/>
  <c r="D14" i="3"/>
  <c r="U13" i="3"/>
  <c r="T13" i="3"/>
  <c r="S13" i="3"/>
  <c r="R13" i="3"/>
  <c r="Q13" i="3"/>
  <c r="P13" i="3"/>
  <c r="O13" i="3"/>
  <c r="N13" i="3"/>
  <c r="M13" i="3"/>
  <c r="L13" i="3"/>
  <c r="K13" i="3"/>
  <c r="J13" i="3"/>
  <c r="I13" i="3"/>
  <c r="H13" i="3"/>
  <c r="G13" i="3"/>
  <c r="E13" i="3"/>
  <c r="D13" i="3"/>
  <c r="U12" i="3"/>
  <c r="T12" i="3"/>
  <c r="S12" i="3"/>
  <c r="R12" i="3"/>
  <c r="Q12" i="3"/>
  <c r="P12" i="3"/>
  <c r="O12" i="3"/>
  <c r="N12" i="3"/>
  <c r="M12" i="3"/>
  <c r="L12" i="3"/>
  <c r="K12" i="3"/>
  <c r="J12" i="3"/>
  <c r="I12" i="3"/>
  <c r="H12" i="3"/>
  <c r="G12" i="3"/>
  <c r="E12" i="3"/>
  <c r="D12" i="3"/>
  <c r="U11" i="3"/>
  <c r="T11" i="3"/>
  <c r="S11" i="3"/>
  <c r="R11" i="3"/>
  <c r="Q11" i="3"/>
  <c r="P11" i="3"/>
  <c r="O11" i="3"/>
  <c r="N11" i="3"/>
  <c r="M11" i="3"/>
  <c r="L11" i="3"/>
  <c r="K11" i="3"/>
  <c r="J11" i="3"/>
  <c r="I11" i="3"/>
  <c r="H11" i="3"/>
  <c r="G11" i="3"/>
  <c r="E11" i="3"/>
  <c r="D11" i="3"/>
  <c r="U10" i="3"/>
  <c r="T10" i="3"/>
  <c r="S10" i="3"/>
  <c r="R10" i="3"/>
  <c r="Q10" i="3"/>
  <c r="P10" i="3"/>
  <c r="O10" i="3"/>
  <c r="N10" i="3"/>
  <c r="M10" i="3"/>
  <c r="L10" i="3"/>
  <c r="K10" i="3"/>
  <c r="J10" i="3"/>
  <c r="I10" i="3"/>
  <c r="H10" i="3"/>
  <c r="G10" i="3"/>
  <c r="E10" i="3"/>
  <c r="D10" i="3"/>
  <c r="U9" i="3"/>
  <c r="T9" i="3"/>
  <c r="S9" i="3"/>
  <c r="R9" i="3"/>
  <c r="Q9" i="3"/>
  <c r="P9" i="3"/>
  <c r="O9" i="3"/>
  <c r="N9" i="3"/>
  <c r="M9" i="3"/>
  <c r="L9" i="3"/>
  <c r="K9" i="3"/>
  <c r="J9" i="3"/>
  <c r="I9" i="3"/>
  <c r="H9" i="3"/>
  <c r="G9" i="3"/>
  <c r="E9" i="3"/>
  <c r="D9" i="3"/>
  <c r="U8" i="3"/>
  <c r="T8" i="3"/>
  <c r="S8" i="3"/>
  <c r="R8" i="3"/>
  <c r="Q8" i="3"/>
  <c r="P8" i="3"/>
  <c r="O8" i="3"/>
  <c r="N8" i="3"/>
  <c r="M8" i="3"/>
  <c r="L8" i="3"/>
  <c r="K8" i="3"/>
  <c r="J8" i="3"/>
  <c r="I8" i="3"/>
  <c r="H8" i="3"/>
  <c r="G8" i="3"/>
  <c r="E8" i="3"/>
  <c r="D8" i="3"/>
  <c r="U7" i="3"/>
  <c r="T7" i="3"/>
  <c r="S7" i="3"/>
  <c r="R7" i="3"/>
  <c r="Q7" i="3"/>
  <c r="P7" i="3"/>
  <c r="O7" i="3"/>
  <c r="N7" i="3"/>
  <c r="M7" i="3"/>
  <c r="L7" i="3"/>
  <c r="K7" i="3"/>
  <c r="J7" i="3"/>
  <c r="I7" i="3"/>
  <c r="H7" i="3"/>
  <c r="G7" i="3"/>
  <c r="E7" i="3"/>
  <c r="D7" i="3"/>
  <c r="U6" i="3"/>
  <c r="T6" i="3"/>
  <c r="S6" i="3"/>
  <c r="R6" i="3"/>
  <c r="Q6" i="3"/>
  <c r="P6" i="3"/>
  <c r="O6" i="3"/>
  <c r="N6" i="3"/>
  <c r="M6" i="3"/>
  <c r="L6" i="3"/>
  <c r="K6" i="3"/>
  <c r="J6" i="3"/>
  <c r="I6" i="3"/>
  <c r="H6" i="3"/>
  <c r="G6" i="3"/>
  <c r="E6" i="3"/>
  <c r="D6" i="3"/>
  <c r="D26" i="2"/>
  <c r="H26" i="2" s="1"/>
  <c r="D24" i="2"/>
  <c r="H24" i="2" s="1"/>
  <c r="D22" i="2"/>
  <c r="D12" i="2"/>
  <c r="F2" i="2"/>
  <c r="R15" i="3" l="1"/>
  <c r="D14" i="2" a="1"/>
  <c r="D14" i="2" s="1"/>
  <c r="F14" i="2" s="1"/>
  <c r="P15" i="3"/>
  <c r="E15" i="3"/>
  <c r="E19" i="3" s="1"/>
  <c r="H15" i="3"/>
  <c r="H19" i="3" s="1"/>
  <c r="S15" i="3"/>
  <c r="T15" i="3"/>
  <c r="L15" i="3"/>
  <c r="M15" i="3"/>
  <c r="O15" i="3"/>
  <c r="V13" i="3"/>
  <c r="K15" i="3"/>
  <c r="V12" i="3"/>
  <c r="D15" i="3"/>
  <c r="Q15" i="3"/>
  <c r="V10" i="3"/>
  <c r="V14" i="3"/>
  <c r="C12" i="3"/>
  <c r="F12" i="3" s="1"/>
  <c r="V6" i="3"/>
  <c r="V8" i="3"/>
  <c r="F12" i="2"/>
  <c r="J15" i="3"/>
  <c r="J19" i="3" s="1"/>
  <c r="C6" i="3"/>
  <c r="C14" i="3"/>
  <c r="F14" i="3" s="1"/>
  <c r="C8" i="3"/>
  <c r="F8" i="3" s="1"/>
  <c r="C11" i="3"/>
  <c r="F11" i="3" s="1"/>
  <c r="V11" i="3"/>
  <c r="V9" i="3"/>
  <c r="N15" i="3"/>
  <c r="I15" i="3"/>
  <c r="I19" i="3" s="1"/>
  <c r="U15" i="3"/>
  <c r="K18" i="3"/>
  <c r="V7" i="3"/>
  <c r="F22" i="2"/>
  <c r="H22" i="2"/>
  <c r="F24" i="2"/>
  <c r="C7" i="3"/>
  <c r="F7" i="3" s="1"/>
  <c r="C10" i="3"/>
  <c r="F10" i="3" s="1"/>
  <c r="C13" i="3"/>
  <c r="F13" i="3" s="1"/>
  <c r="F26" i="2"/>
  <c r="C9" i="3"/>
  <c r="F9" i="3" s="1"/>
  <c r="E18" i="3" l="1"/>
  <c r="L18" i="3"/>
  <c r="K19" i="3"/>
  <c r="C15" i="3"/>
  <c r="F6" i="3"/>
  <c r="F15" i="3" s="1"/>
  <c r="V15" i="3"/>
  <c r="L19" i="3" l="1"/>
  <c r="M18" i="3"/>
  <c r="M19" i="3" l="1"/>
  <c r="N18" i="3"/>
  <c r="N19" i="3" l="1"/>
  <c r="O18" i="3"/>
  <c r="O1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 authorId="0" shapeId="0" xr:uid="{00000000-0006-0000-0200-000001000000}">
      <text>
        <r>
          <rPr>
            <sz val="10"/>
            <color rgb="FF000000"/>
            <rFont val="Calibri"/>
            <scheme val="minor"/>
          </rPr>
          <t>Coupons released to participiants</t>
        </r>
      </text>
    </comment>
    <comment ref="D5" authorId="0" shapeId="0" xr:uid="{00000000-0006-0000-0200-000002000000}">
      <text>
        <r>
          <rPr>
            <sz val="10"/>
            <color rgb="FF000000"/>
            <rFont val="Calibri"/>
            <scheme val="minor"/>
          </rPr>
          <t>Returned coupons (seeds excluded)</t>
        </r>
      </text>
    </comment>
    <comment ref="E5" authorId="0" shapeId="0" xr:uid="{00000000-0006-0000-0200-000003000000}">
      <text>
        <r>
          <rPr>
            <sz val="10"/>
            <color rgb="FF000000"/>
            <rFont val="Calibri"/>
            <scheme val="minor"/>
          </rPr>
          <t>Number of non-eligible participiants</t>
        </r>
      </text>
    </comment>
    <comment ref="F5" authorId="0" shapeId="0" xr:uid="{00000000-0006-0000-0200-000004000000}">
      <text>
        <r>
          <rPr>
            <sz val="10"/>
            <color rgb="FF000000"/>
            <rFont val="Calibri"/>
            <scheme val="minor"/>
          </rPr>
          <t>Number of Coupons yet to be returned (valid and expired coupons)</t>
        </r>
      </text>
    </comment>
  </commentList>
</comments>
</file>

<file path=xl/sharedStrings.xml><?xml version="1.0" encoding="utf-8"?>
<sst xmlns="http://schemas.openxmlformats.org/spreadsheetml/2006/main" count="924" uniqueCount="484">
  <si>
    <t xml:space="preserve"> </t>
  </si>
  <si>
    <t>Site</t>
  </si>
  <si>
    <t>Eldoret</t>
  </si>
  <si>
    <t>LABEL</t>
  </si>
  <si>
    <t>COUPON</t>
  </si>
  <si>
    <t>RDS-27</t>
  </si>
  <si>
    <t>RDS-107</t>
  </si>
  <si>
    <t>RDS-287</t>
  </si>
  <si>
    <t>RDS-395</t>
  </si>
  <si>
    <t>RDS-1</t>
  </si>
  <si>
    <t>RDS-2</t>
  </si>
  <si>
    <t>RDS-3</t>
  </si>
  <si>
    <t>RDS-4</t>
  </si>
  <si>
    <t>RDS-5</t>
  </si>
  <si>
    <t>RDS-6</t>
  </si>
  <si>
    <t>RDS-7</t>
  </si>
  <si>
    <t>RDS-8</t>
  </si>
  <si>
    <t>RDS-9</t>
  </si>
  <si>
    <t>RDS-10</t>
  </si>
  <si>
    <t>RDS-11</t>
  </si>
  <si>
    <t>RDS-12</t>
  </si>
  <si>
    <t>RDS-13</t>
  </si>
  <si>
    <t>RDS-14</t>
  </si>
  <si>
    <t>RDS-15</t>
  </si>
  <si>
    <t>RDS-16</t>
  </si>
  <si>
    <t>RDS-17</t>
  </si>
  <si>
    <t>RDS-18</t>
  </si>
  <si>
    <t>RDS-19</t>
  </si>
  <si>
    <t>RDS-20</t>
  </si>
  <si>
    <t>RDS-21</t>
  </si>
  <si>
    <t>RDS-22</t>
  </si>
  <si>
    <t>RDS-23</t>
  </si>
  <si>
    <t>RDS-24</t>
  </si>
  <si>
    <t>RDS-25</t>
  </si>
  <si>
    <t>RDS-26</t>
  </si>
  <si>
    <t>RDS-28</t>
  </si>
  <si>
    <t>RDS-29</t>
  </si>
  <si>
    <t>RDS-30</t>
  </si>
  <si>
    <t>RDS-31</t>
  </si>
  <si>
    <t>RDS-32</t>
  </si>
  <si>
    <t>RDS-33</t>
  </si>
  <si>
    <t>RDS-34</t>
  </si>
  <si>
    <t>RDS-35</t>
  </si>
  <si>
    <t>RDS-36</t>
  </si>
  <si>
    <t>RDS-37</t>
  </si>
  <si>
    <t>RDS-38</t>
  </si>
  <si>
    <t>RDS-39</t>
  </si>
  <si>
    <t>RDS-40</t>
  </si>
  <si>
    <t>RDS-41</t>
  </si>
  <si>
    <t>RDS-42</t>
  </si>
  <si>
    <t>RDS-43</t>
  </si>
  <si>
    <t>RDS-44</t>
  </si>
  <si>
    <t>RDS-45</t>
  </si>
  <si>
    <t>RDS-46</t>
  </si>
  <si>
    <t>RDS-47</t>
  </si>
  <si>
    <t>RDS-48</t>
  </si>
  <si>
    <t>RDS-49</t>
  </si>
  <si>
    <t>RDS-50</t>
  </si>
  <si>
    <t>RDS-51</t>
  </si>
  <si>
    <t>RDS-52</t>
  </si>
  <si>
    <t>RDS-53</t>
  </si>
  <si>
    <t>RDS-54</t>
  </si>
  <si>
    <t>RDS-55</t>
  </si>
  <si>
    <t>RDS-56</t>
  </si>
  <si>
    <t>RDS-57</t>
  </si>
  <si>
    <t>RDS-58</t>
  </si>
  <si>
    <t>RDS-59</t>
  </si>
  <si>
    <t>RDS-60</t>
  </si>
  <si>
    <t>RDS-61</t>
  </si>
  <si>
    <t>RDS-62</t>
  </si>
  <si>
    <t>RDS-63</t>
  </si>
  <si>
    <t>RDS-64</t>
  </si>
  <si>
    <t>RDS-65</t>
  </si>
  <si>
    <t>RDS-66</t>
  </si>
  <si>
    <t>RDS-67</t>
  </si>
  <si>
    <t>RDS-68</t>
  </si>
  <si>
    <t>RDS-69</t>
  </si>
  <si>
    <t>RDS-70</t>
  </si>
  <si>
    <t>RDS-71</t>
  </si>
  <si>
    <t>RDS-72</t>
  </si>
  <si>
    <t>RDS-73</t>
  </si>
  <si>
    <t>RDS-74</t>
  </si>
  <si>
    <t>RDS-75</t>
  </si>
  <si>
    <t>RDS-76</t>
  </si>
  <si>
    <t>RDS-77</t>
  </si>
  <si>
    <t>RDS-78</t>
  </si>
  <si>
    <t>RDS-79</t>
  </si>
  <si>
    <t>RDS-80</t>
  </si>
  <si>
    <t>RDS-81</t>
  </si>
  <si>
    <t>RDS-82</t>
  </si>
  <si>
    <t>RDS-83</t>
  </si>
  <si>
    <t>RDS-84</t>
  </si>
  <si>
    <t>RDS-85</t>
  </si>
  <si>
    <t>RDS-86</t>
  </si>
  <si>
    <t>RDS-87</t>
  </si>
  <si>
    <t>RDS-88</t>
  </si>
  <si>
    <t>RDS-89</t>
  </si>
  <si>
    <t>RDS-90</t>
  </si>
  <si>
    <t>RDS-91</t>
  </si>
  <si>
    <t>RDS-92</t>
  </si>
  <si>
    <t>RDS-93</t>
  </si>
  <si>
    <t>RDS-94</t>
  </si>
  <si>
    <t>RDS-95</t>
  </si>
  <si>
    <t>RDS-96</t>
  </si>
  <si>
    <t>RDS-97</t>
  </si>
  <si>
    <t>RDS-98</t>
  </si>
  <si>
    <t>RDS-99</t>
  </si>
  <si>
    <t>RDS-100</t>
  </si>
  <si>
    <t>RDS-101</t>
  </si>
  <si>
    <t>RDS-102</t>
  </si>
  <si>
    <t>RDS-103</t>
  </si>
  <si>
    <t>RDS-104</t>
  </si>
  <si>
    <t>RDS-105</t>
  </si>
  <si>
    <t>RDS-106</t>
  </si>
  <si>
    <t>RDS-108</t>
  </si>
  <si>
    <t>RDS-109</t>
  </si>
  <si>
    <t>RDS-110</t>
  </si>
  <si>
    <t>RDS-111</t>
  </si>
  <si>
    <t>RDS-112</t>
  </si>
  <si>
    <t>RDS-113</t>
  </si>
  <si>
    <t>RDS-114</t>
  </si>
  <si>
    <t>RDS-115</t>
  </si>
  <si>
    <t>RDS-116</t>
  </si>
  <si>
    <t>RDS-117</t>
  </si>
  <si>
    <t>RDS-118</t>
  </si>
  <si>
    <t>RDS-119</t>
  </si>
  <si>
    <t>RDS-120</t>
  </si>
  <si>
    <t>RDS-121</t>
  </si>
  <si>
    <t>RDS-122</t>
  </si>
  <si>
    <t>RDS-123</t>
  </si>
  <si>
    <t>RDS-124</t>
  </si>
  <si>
    <t>RDS-125</t>
  </si>
  <si>
    <t>RDS-126</t>
  </si>
  <si>
    <t>RDS-127</t>
  </si>
  <si>
    <t>RDS-128</t>
  </si>
  <si>
    <t>RDS-129</t>
  </si>
  <si>
    <t>RDS-130</t>
  </si>
  <si>
    <t>RDS-131</t>
  </si>
  <si>
    <t>RDS-132</t>
  </si>
  <si>
    <t>RDS-133</t>
  </si>
  <si>
    <t>RDS-134</t>
  </si>
  <si>
    <t>RDS-135</t>
  </si>
  <si>
    <t>RDS-136</t>
  </si>
  <si>
    <t>RDS-137</t>
  </si>
  <si>
    <t>RDS-138</t>
  </si>
  <si>
    <t>RDS-139</t>
  </si>
  <si>
    <t>RDS-140</t>
  </si>
  <si>
    <t>RDS-141</t>
  </si>
  <si>
    <t>RDS-142</t>
  </si>
  <si>
    <t>RDS-143</t>
  </si>
  <si>
    <t>RDS-144</t>
  </si>
  <si>
    <t>RDS-145</t>
  </si>
  <si>
    <t>RDS-146</t>
  </si>
  <si>
    <t>RDS-147</t>
  </si>
  <si>
    <t>RDS-148</t>
  </si>
  <si>
    <t>RDS-149</t>
  </si>
  <si>
    <t>RDS-150</t>
  </si>
  <si>
    <t>RDS-151</t>
  </si>
  <si>
    <t>RDS-152</t>
  </si>
  <si>
    <t>RDS-153</t>
  </si>
  <si>
    <t>RDS-154</t>
  </si>
  <si>
    <t>RDS-155</t>
  </si>
  <si>
    <t>RDS-156</t>
  </si>
  <si>
    <t>RDS-157</t>
  </si>
  <si>
    <t>RDS-158</t>
  </si>
  <si>
    <t>RDS-159</t>
  </si>
  <si>
    <t>RDS-160</t>
  </si>
  <si>
    <t>RDS-161</t>
  </si>
  <si>
    <t>RDS-162</t>
  </si>
  <si>
    <t>RDS-163</t>
  </si>
  <si>
    <t>RDS-164</t>
  </si>
  <si>
    <t>RDS-165</t>
  </si>
  <si>
    <t>RDS-166</t>
  </si>
  <si>
    <t>RDS-167</t>
  </si>
  <si>
    <t>RDS-168</t>
  </si>
  <si>
    <t>RDS-169</t>
  </si>
  <si>
    <t>RDS-170</t>
  </si>
  <si>
    <t>RDS-171</t>
  </si>
  <si>
    <t>RDS-172</t>
  </si>
  <si>
    <t>RDS-173</t>
  </si>
  <si>
    <t>RDS-174</t>
  </si>
  <si>
    <t>RDS-175</t>
  </si>
  <si>
    <t>RDS-176</t>
  </si>
  <si>
    <t>RDS-177</t>
  </si>
  <si>
    <t>RDS-178</t>
  </si>
  <si>
    <t>RDS-179</t>
  </si>
  <si>
    <t>RDS-180</t>
  </si>
  <si>
    <t>RDS-181</t>
  </si>
  <si>
    <t>RDS-182</t>
  </si>
  <si>
    <t>RDS-183</t>
  </si>
  <si>
    <t>RDS-184</t>
  </si>
  <si>
    <t>RDS-185</t>
  </si>
  <si>
    <t>RDS-186</t>
  </si>
  <si>
    <t>RDS-187</t>
  </si>
  <si>
    <t>RDS-188</t>
  </si>
  <si>
    <t>RDS-189</t>
  </si>
  <si>
    <t>RDS-190</t>
  </si>
  <si>
    <t>RDS-191</t>
  </si>
  <si>
    <t>RDS-192</t>
  </si>
  <si>
    <t>RDS-193</t>
  </si>
  <si>
    <t>RDS-194</t>
  </si>
  <si>
    <t>RDS-195</t>
  </si>
  <si>
    <t>RDS-196</t>
  </si>
  <si>
    <t>RDS-197</t>
  </si>
  <si>
    <t>RDS-198</t>
  </si>
  <si>
    <t>RDS-199</t>
  </si>
  <si>
    <t>RDS-200</t>
  </si>
  <si>
    <t>RDS-201</t>
  </si>
  <si>
    <t>RDS-202</t>
  </si>
  <si>
    <t>RDS-203</t>
  </si>
  <si>
    <t>RDS-204</t>
  </si>
  <si>
    <t>RDS-205</t>
  </si>
  <si>
    <t>RDS-206</t>
  </si>
  <si>
    <t>RDS-207</t>
  </si>
  <si>
    <t>RDS-208</t>
  </si>
  <si>
    <t>RDS-209</t>
  </si>
  <si>
    <t>RDS-210</t>
  </si>
  <si>
    <t>RDS-211</t>
  </si>
  <si>
    <t>RDS-212</t>
  </si>
  <si>
    <t>RDS-213</t>
  </si>
  <si>
    <t>RDS-214</t>
  </si>
  <si>
    <t>RDS-215</t>
  </si>
  <si>
    <t>RDS-216</t>
  </si>
  <si>
    <t>RDS-217</t>
  </si>
  <si>
    <t>RDS-218</t>
  </si>
  <si>
    <t>RDS-219</t>
  </si>
  <si>
    <t>RDS-220</t>
  </si>
  <si>
    <t>RDS-221</t>
  </si>
  <si>
    <t>RDS-222</t>
  </si>
  <si>
    <t>RDS-223</t>
  </si>
  <si>
    <t>RDS-224</t>
  </si>
  <si>
    <t>RDS-225</t>
  </si>
  <si>
    <t>RDS-226</t>
  </si>
  <si>
    <t>RDS-227</t>
  </si>
  <si>
    <t>RDS-228</t>
  </si>
  <si>
    <t>RDS-229</t>
  </si>
  <si>
    <t>RDS-230</t>
  </si>
  <si>
    <t>RDS-231</t>
  </si>
  <si>
    <t>RDS-232</t>
  </si>
  <si>
    <t>RDS-233</t>
  </si>
  <si>
    <t>RDS-234</t>
  </si>
  <si>
    <t>RDS-235</t>
  </si>
  <si>
    <t>RDS-236</t>
  </si>
  <si>
    <t>RDS-237</t>
  </si>
  <si>
    <t>RDS-238</t>
  </si>
  <si>
    <t>RDS-239</t>
  </si>
  <si>
    <t>RDS-240</t>
  </si>
  <si>
    <t>RDS-241</t>
  </si>
  <si>
    <t>RDS-242</t>
  </si>
  <si>
    <t>RDS-243</t>
  </si>
  <si>
    <t>RDS-244</t>
  </si>
  <si>
    <t>RDS-245</t>
  </si>
  <si>
    <t>RDS-246</t>
  </si>
  <si>
    <t>RDS-247</t>
  </si>
  <si>
    <t>RDS-248</t>
  </si>
  <si>
    <t>RDS-249</t>
  </si>
  <si>
    <t>RDS-250</t>
  </si>
  <si>
    <t>RDS-251</t>
  </si>
  <si>
    <t>RDS-252</t>
  </si>
  <si>
    <t>RDS-253</t>
  </si>
  <si>
    <t>RDS-254</t>
  </si>
  <si>
    <t>RDS-255</t>
  </si>
  <si>
    <t>RDS-256</t>
  </si>
  <si>
    <t>RDS-257</t>
  </si>
  <si>
    <t>RDS-258</t>
  </si>
  <si>
    <t>RDS-259</t>
  </si>
  <si>
    <t>RDS-260</t>
  </si>
  <si>
    <t>RDS-261</t>
  </si>
  <si>
    <t>RDS-262</t>
  </si>
  <si>
    <t>RDS-263</t>
  </si>
  <si>
    <t>RDS-264</t>
  </si>
  <si>
    <t>RDS-265</t>
  </si>
  <si>
    <t>RDS-266</t>
  </si>
  <si>
    <t>RDS-267</t>
  </si>
  <si>
    <t>RDS-268</t>
  </si>
  <si>
    <t>RDS-269</t>
  </si>
  <si>
    <t>RDS-270</t>
  </si>
  <si>
    <t>RDS-271</t>
  </si>
  <si>
    <t>RDS-272</t>
  </si>
  <si>
    <t>RDS-273</t>
  </si>
  <si>
    <t>RDS-274</t>
  </si>
  <si>
    <t>RDS-275</t>
  </si>
  <si>
    <t>RDS-276</t>
  </si>
  <si>
    <t>RDS-277</t>
  </si>
  <si>
    <t>RDS-278</t>
  </si>
  <si>
    <t>RDS-279</t>
  </si>
  <si>
    <t>RDS-280</t>
  </si>
  <si>
    <t>RDS-281</t>
  </si>
  <si>
    <t>RDS-282</t>
  </si>
  <si>
    <t>RDS-283</t>
  </si>
  <si>
    <t>RDS-284</t>
  </si>
  <si>
    <t>RDS-285</t>
  </si>
  <si>
    <t>RDS-286</t>
  </si>
  <si>
    <t>RDS-288</t>
  </si>
  <si>
    <t>RDS-289</t>
  </si>
  <si>
    <t>RDS-290</t>
  </si>
  <si>
    <t>RDS-291</t>
  </si>
  <si>
    <t>RDS-292</t>
  </si>
  <si>
    <t>RDS-293</t>
  </si>
  <si>
    <t>RDS-294</t>
  </si>
  <si>
    <t>RDS-295</t>
  </si>
  <si>
    <t>RDS-296</t>
  </si>
  <si>
    <t>RDS-297</t>
  </si>
  <si>
    <t>RDS-298</t>
  </si>
  <si>
    <t>RDS-299</t>
  </si>
  <si>
    <t>RDS-300</t>
  </si>
  <si>
    <t>RDS-301</t>
  </si>
  <si>
    <t>RDS-302</t>
  </si>
  <si>
    <t>RDS-303</t>
  </si>
  <si>
    <t>RDS-304</t>
  </si>
  <si>
    <t>RDS-305</t>
  </si>
  <si>
    <t>RDS-306</t>
  </si>
  <si>
    <t>RDS-307</t>
  </si>
  <si>
    <t>RDS-308</t>
  </si>
  <si>
    <t>RDS-309</t>
  </si>
  <si>
    <t>RDS-310</t>
  </si>
  <si>
    <t>RDS-311</t>
  </si>
  <si>
    <t>RDS-312</t>
  </si>
  <si>
    <t>RDS-313</t>
  </si>
  <si>
    <t>RDS-314</t>
  </si>
  <si>
    <t>RDS-315</t>
  </si>
  <si>
    <t>RDS-316</t>
  </si>
  <si>
    <t>RDS-317</t>
  </si>
  <si>
    <t>RDS-318</t>
  </si>
  <si>
    <t>RDS-319</t>
  </si>
  <si>
    <t>RDS-320</t>
  </si>
  <si>
    <t>RDS-321</t>
  </si>
  <si>
    <t>RDS-322</t>
  </si>
  <si>
    <t>RDS-323</t>
  </si>
  <si>
    <t>RDS-324</t>
  </si>
  <si>
    <t>RDS-325</t>
  </si>
  <si>
    <t>RDS-326</t>
  </si>
  <si>
    <t>RDS-327</t>
  </si>
  <si>
    <t>RDS-328</t>
  </si>
  <si>
    <t>RDS-329</t>
  </si>
  <si>
    <t>RDS-330</t>
  </si>
  <si>
    <t>RDS-331</t>
  </si>
  <si>
    <t>RDS-332</t>
  </si>
  <si>
    <t>RDS-333</t>
  </si>
  <si>
    <t>RDS-334</t>
  </si>
  <si>
    <t>RDS-335</t>
  </si>
  <si>
    <t>RDS-336</t>
  </si>
  <si>
    <t>RDS-337</t>
  </si>
  <si>
    <t>RDS-338</t>
  </si>
  <si>
    <t>RDS-339</t>
  </si>
  <si>
    <t>RDS-340</t>
  </si>
  <si>
    <t>RDS-341</t>
  </si>
  <si>
    <t>RDS-342</t>
  </si>
  <si>
    <t>RDS-343</t>
  </si>
  <si>
    <t>RDS-344</t>
  </si>
  <si>
    <t>RDS-345</t>
  </si>
  <si>
    <t>RDS-346</t>
  </si>
  <si>
    <t>RDS-347</t>
  </si>
  <si>
    <t>RDS-348</t>
  </si>
  <si>
    <t>RDS-349</t>
  </si>
  <si>
    <t>RDS-350</t>
  </si>
  <si>
    <t>RDS-351</t>
  </si>
  <si>
    <t>RDS-352</t>
  </si>
  <si>
    <t>RDS-353</t>
  </si>
  <si>
    <t>RDS-354</t>
  </si>
  <si>
    <t>RDS-355</t>
  </si>
  <si>
    <t>RDS-356</t>
  </si>
  <si>
    <t>RDS-357</t>
  </si>
  <si>
    <t>RDS-358</t>
  </si>
  <si>
    <t>RDS-359</t>
  </si>
  <si>
    <t>RDS-360</t>
  </si>
  <si>
    <t>RDS-361</t>
  </si>
  <si>
    <t>RDS-362</t>
  </si>
  <si>
    <t>RDS-363</t>
  </si>
  <si>
    <t>RDS-364</t>
  </si>
  <si>
    <t>RDS-365</t>
  </si>
  <si>
    <t>RDS-366</t>
  </si>
  <si>
    <t>RDS-367</t>
  </si>
  <si>
    <t>RDS-368</t>
  </si>
  <si>
    <t>RDS-369</t>
  </si>
  <si>
    <t>RDS-370</t>
  </si>
  <si>
    <t>RDS-371</t>
  </si>
  <si>
    <t>RDS-372</t>
  </si>
  <si>
    <t>RDS-373</t>
  </si>
  <si>
    <t>RDS-374</t>
  </si>
  <si>
    <t>RDS-375</t>
  </si>
  <si>
    <t>RDS-376</t>
  </si>
  <si>
    <t>RDS-377</t>
  </si>
  <si>
    <t>RDS-378</t>
  </si>
  <si>
    <t>RDS-379</t>
  </si>
  <si>
    <t>RDS-380</t>
  </si>
  <si>
    <t>RDS-381</t>
  </si>
  <si>
    <t>RDS-382</t>
  </si>
  <si>
    <t>RDS-383</t>
  </si>
  <si>
    <t>RDS-384</t>
  </si>
  <si>
    <t>RDS-385</t>
  </si>
  <si>
    <t>RDS-386</t>
  </si>
  <si>
    <t>RDS-387</t>
  </si>
  <si>
    <t>RDS-388</t>
  </si>
  <si>
    <t>RDS-389</t>
  </si>
  <si>
    <t>RDS-390</t>
  </si>
  <si>
    <t>RDS-391</t>
  </si>
  <si>
    <t>RDS-392</t>
  </si>
  <si>
    <t>RDS-393</t>
  </si>
  <si>
    <t>RDS-394</t>
  </si>
  <si>
    <t>RDS-396</t>
  </si>
  <si>
    <t>RDS-397</t>
  </si>
  <si>
    <t>RDS-398</t>
  </si>
  <si>
    <t>RDS-399</t>
  </si>
  <si>
    <t>RDS-400</t>
  </si>
  <si>
    <t>RDS-401</t>
  </si>
  <si>
    <t>RDS-402</t>
  </si>
  <si>
    <t>RDS-403</t>
  </si>
  <si>
    <t>RDS-404</t>
  </si>
  <si>
    <t>RDS-405</t>
  </si>
  <si>
    <t>RDS-406</t>
  </si>
  <si>
    <t>RDS-407</t>
  </si>
  <si>
    <t>RDS-408</t>
  </si>
  <si>
    <t>RDS-409</t>
  </si>
  <si>
    <t>RDS-410</t>
  </si>
  <si>
    <t>RDS-411</t>
  </si>
  <si>
    <t>RDS-412</t>
  </si>
  <si>
    <t>RDS-413</t>
  </si>
  <si>
    <t>RDS-414</t>
  </si>
  <si>
    <t>RDS-415</t>
  </si>
  <si>
    <t>RDS-416</t>
  </si>
  <si>
    <t>RDS-417</t>
  </si>
  <si>
    <t>RDS-418</t>
  </si>
  <si>
    <t>RDS-419</t>
  </si>
  <si>
    <t>RDS-420</t>
  </si>
  <si>
    <t>RDS-421</t>
  </si>
  <si>
    <t>RDS-422</t>
  </si>
  <si>
    <t>RDS-423</t>
  </si>
  <si>
    <t>RDS-424</t>
  </si>
  <si>
    <t>RDS-425</t>
  </si>
  <si>
    <t>RDS-426</t>
  </si>
  <si>
    <t>RDS-427</t>
  </si>
  <si>
    <t>RDS-428</t>
  </si>
  <si>
    <t>RDS-429</t>
  </si>
  <si>
    <t>RDS-430</t>
  </si>
  <si>
    <t>RDS-431</t>
  </si>
  <si>
    <t>RDS-432</t>
  </si>
  <si>
    <t>RDS-433</t>
  </si>
  <si>
    <t>RDS-434</t>
  </si>
  <si>
    <t>RDS-435</t>
  </si>
  <si>
    <t>RDS-436</t>
  </si>
  <si>
    <t>RDS-437</t>
  </si>
  <si>
    <t>COUPON CHECKING FORM</t>
  </si>
  <si>
    <t>Coupon number:</t>
  </si>
  <si>
    <t>Please input Coupon number
manually OR input the 4 digit
RDS label number.</t>
  </si>
  <si>
    <t>RDS Label:</t>
  </si>
  <si>
    <t>Coupon number</t>
  </si>
  <si>
    <t>Expires</t>
  </si>
  <si>
    <t>SECONDARY INCENTIVES</t>
  </si>
  <si>
    <t># of issued coupons:</t>
  </si>
  <si>
    <t>Coupon 1</t>
  </si>
  <si>
    <t>Coupon 2</t>
  </si>
  <si>
    <t>Coupon 3</t>
  </si>
  <si>
    <t>COUPONS STATISTICS</t>
  </si>
  <si>
    <t>Coupons</t>
  </si>
  <si>
    <t>Number of participiant entered into RDS study</t>
  </si>
  <si>
    <t>SEED</t>
  </si>
  <si>
    <t>RELEASED</t>
  </si>
  <si>
    <t>RETURNED</t>
  </si>
  <si>
    <t>NEL/REF</t>
  </si>
  <si>
    <t>OUT</t>
  </si>
  <si>
    <t>W0</t>
  </si>
  <si>
    <t>W1</t>
  </si>
  <si>
    <t>W2</t>
  </si>
  <si>
    <t>W3</t>
  </si>
  <si>
    <t>W4</t>
  </si>
  <si>
    <t>W5</t>
  </si>
  <si>
    <t>W6</t>
  </si>
  <si>
    <t>W7</t>
  </si>
  <si>
    <t>W8</t>
  </si>
  <si>
    <t>W9</t>
  </si>
  <si>
    <t>W10</t>
  </si>
  <si>
    <t>W11</t>
  </si>
  <si>
    <t>W12</t>
  </si>
  <si>
    <t>W13</t>
  </si>
  <si>
    <t>W14</t>
  </si>
  <si>
    <t>TOTAL</t>
  </si>
  <si>
    <t>Valid participants</t>
  </si>
  <si>
    <t>Non-Eligible</t>
  </si>
  <si>
    <t>Coupon Tracking Form Ver. 3.1</t>
  </si>
  <si>
    <r>
      <rPr>
        <sz val="8"/>
        <color theme="1"/>
        <rFont val="Arial"/>
      </rPr>
      <t xml:space="preserve">This excel file was created for the purpose of assisting the RDS research study in Zagreb, Croatia.
</t>
    </r>
    <r>
      <rPr>
        <b/>
        <sz val="8"/>
        <color theme="1"/>
        <rFont val="Arial"/>
      </rPr>
      <t xml:space="preserve">Author: </t>
    </r>
    <r>
      <rPr>
        <sz val="8"/>
        <color theme="1"/>
        <rFont val="Arial"/>
      </rPr>
      <t xml:space="preserve">
</t>
    </r>
    <r>
      <rPr>
        <sz val="8"/>
        <color theme="1"/>
        <rFont val="Arial"/>
      </rPr>
      <t xml:space="preserve">Hrvoje Fuchek
hrvoje@iskorak.org
</t>
    </r>
    <r>
      <rPr>
        <sz val="8"/>
        <color theme="1"/>
        <rFont val="Arial"/>
      </rPr>
      <t xml:space="preserve">
</t>
    </r>
    <r>
      <rPr>
        <b/>
        <sz val="8"/>
        <color theme="1"/>
        <rFont val="Arial"/>
      </rPr>
      <t>Organisation:</t>
    </r>
    <r>
      <rPr>
        <sz val="8"/>
        <color theme="1"/>
        <rFont val="Arial"/>
      </rPr>
      <t xml:space="preserve">
Iskorak
Iblerov Trg 9, 10000 Zagreb
Croatia
</t>
    </r>
  </si>
  <si>
    <r>
      <rPr>
        <b/>
        <sz val="8"/>
        <color theme="1"/>
        <rFont val="Arial"/>
      </rPr>
      <t>NO WARRANTIES.</t>
    </r>
    <r>
      <rPr>
        <sz val="6"/>
        <color theme="1"/>
        <rFont val="Arial"/>
      </rPr>
      <t xml:space="preserve">
AUTHOR AND ANY LICENSOR  EXPRESSLY DISCLAIM TO THE FULLEST EXTENT PERMITTED BY LAW ANY WARRANTY FOR THE SOFTWARE PRODUCT. THE SOFTWARE PRODUCT AND ANY RELATED DOCUMENTATION IS PROVIDED "AS IS" WITHOUT WARRANTY OF ANY KIND, EITHER EXPRESS, IMPLIED OR STATUTORY, INCLUDING, WITHOUT LIMITATION, THE IMPLIED WARRANTIES OR MERCHANTABILITY, FITNESS FOR A PARTICULAR PURPOSE, OR NONINFRINGEMENT.  AUTHOR AND LICENSOR DISCLAIM ANY WARRANTIES REGARDING THE SECURITY, RELIABILITY, TIMELINESS AND PERFORMANCE OF THE SOFTWARE PRODUCT.  THE ENTIRE RISK ARISING OUT OF USE OR PERFORMANCE OF THE SOFTWARE PRODUCT REMAINS WITH YOU.
</t>
    </r>
  </si>
  <si>
    <r>
      <rPr>
        <b/>
        <sz val="8"/>
        <color theme="1"/>
        <rFont val="Arial"/>
      </rPr>
      <t>NO LIABILITY FOR DAMAGES.</t>
    </r>
    <r>
      <rPr>
        <sz val="6"/>
        <color theme="1"/>
        <rFont val="Arial"/>
      </rPr>
      <t xml:space="preserve">
IN NO EVENT SHALL AUTHOR OR LICENSOR BE LIABLE FOR ANY DAMAGES WHATSOEVER (INCLUDING, WITHOUT LIMITATION, DAMAGES FOR LOSS OF BUSINESS PROFITS, BUSINESS INTERRUPTION, LOSS OF BUSINESS INFORMATION, OR ANY OTHER PECUNIARY LOSS) ARISING OUT OF THE USE OF OR INABILITY TO USE THIS PRODUCT, EVEN IF AUTHOR OR LICENSOR HAS BEEN ADVISED OF THE POSSIBILITY OF SUCH DAMAGES.  UNDER NO CIRCUMSTANCES SHALL AUTHOR OR LICENSOR BE LIABLE TO ANY USER ON ACCOUNT OF THAT USER¡¯S USE OR MISUSE OF THE SOFTWARE PRODUCT.  SUCH LIMITATION OF LIABILITY SHALL APPLY TO PREVENT RECOVERY OF DIRECT, INDIRECT, INCIDENTAL, CONSEQUENTIAL, SPECIAL, EXEMPLARY, AND PUNITIVE DAMAGES WHETHER SUCH CLAIM IS BASED ON WARRANTY, CONTRACT, TORT (INCLUDING NEGLIGENCE), OR OTHERWISE (EVEN IF AUTHOR OR LICENSOR HAVE BEEN ADVISED OF THE POSSIBILITY OF SUCH DAMAGES).  </t>
    </r>
  </si>
  <si>
    <t xml:space="preserve">SUCH LIMITATION OF LIABILITY SHALL APPLY WHETHER THE DAMAGES ARISE FROM USE OR MISUSE OF AND RELIANCE ON THE SOFTWARE PRODUCT, FROM INABILITY TO USE THE SOFTWARE PRODUCT, OR FROM THE INTERRUPTION, SUSPENSION OR TERMINATION OF THE SOFTWARE PRODUCT (INCLUDING SUCH DAMAGES INCURRED BY THIRD PARTIES).  SUCH LIMITATION SHALL APPLY NOTWITHSTANDING A FAILURE OF ESSENTIAL PURPOSE OF ANY LIMITED REMEDY AND TO THE FULLEST EXTENT PERMITTED BY LAW.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</si>
</sst>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quot;RDS-&quot;####"/>
    <numFmt numFmtId="166" formatCode="##########*0"/>
    <numFmt numFmtId="168" formatCode="dd/mm/yyyy/"/>
    <numFmt numFmtId="169" formatCode="d/m/yyyy"/>
  </numFmts>
  <fonts count="10" x14ac:knownFonts="1">
    <font>
      <sz val="10"/>
      <color rgb="FF000000"/>
      <name val="Calibri"/>
      <scheme val="minor"/>
    </font>
    <font>
      <sz val="8"/>
      <color theme="1"/>
      <name val="Arial"/>
    </font>
    <font>
      <sz val="10"/>
      <name val="Calibri"/>
    </font>
    <font>
      <b/>
      <sz val="10"/>
      <color theme="1"/>
      <name val="Arial"/>
    </font>
    <font>
      <b/>
      <sz val="8"/>
      <color theme="1"/>
      <name val="Arial"/>
    </font>
    <font>
      <sz val="7"/>
      <color theme="1"/>
      <name val="Arial"/>
    </font>
    <font>
      <sz val="8"/>
      <color rgb="FFC0C0C0"/>
      <name val="Arial"/>
    </font>
    <font>
      <sz val="6"/>
      <color theme="1"/>
      <name val="Arial"/>
    </font>
    <font>
      <sz val="6"/>
      <color rgb="FFFFFFFF"/>
      <name val="Arial"/>
    </font>
    <font>
      <sz val="10"/>
      <color theme="1"/>
      <name val="Arial"/>
    </font>
  </fonts>
  <fills count="9">
    <fill>
      <patternFill patternType="none"/>
    </fill>
    <fill>
      <patternFill patternType="gray125"/>
    </fill>
    <fill>
      <patternFill patternType="solid">
        <fgColor rgb="FFFFFFFF"/>
        <bgColor rgb="FFFFFFFF"/>
      </patternFill>
    </fill>
    <fill>
      <patternFill patternType="solid">
        <fgColor rgb="FFDDDDDD"/>
        <bgColor rgb="FFDDDDDD"/>
      </patternFill>
    </fill>
    <fill>
      <patternFill patternType="solid">
        <fgColor rgb="FFEAEAEA"/>
        <bgColor rgb="FFEAEAEA"/>
      </patternFill>
    </fill>
    <fill>
      <patternFill patternType="solid">
        <fgColor rgb="FFFF99CC"/>
        <bgColor rgb="FFFF99CC"/>
      </patternFill>
    </fill>
    <fill>
      <patternFill patternType="solid">
        <fgColor rgb="FF99CC00"/>
        <bgColor rgb="FF99CC00"/>
      </patternFill>
    </fill>
    <fill>
      <patternFill patternType="solid">
        <fgColor rgb="FF99CCFF"/>
        <bgColor rgb="FF99CCFF"/>
      </patternFill>
    </fill>
    <fill>
      <patternFill patternType="solid">
        <fgColor rgb="FFC0C0C0"/>
        <bgColor rgb="FFC0C0C0"/>
      </patternFill>
    </fill>
  </fills>
  <borders count="53">
    <border>
      <left/>
      <right/>
      <top/>
      <bottom/>
      <diagonal/>
    </border>
    <border>
      <left/>
      <right/>
      <top/>
      <bottom/>
      <diagonal/>
    </border>
    <border>
      <left/>
      <right/>
      <top/>
      <bottom/>
      <diagonal/>
    </border>
    <border>
      <left/>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style="thin">
        <color rgb="FF000000"/>
      </left>
      <right/>
      <top/>
      <bottom/>
      <diagonal/>
    </border>
    <border>
      <left/>
      <right style="medium">
        <color rgb="FF000000"/>
      </right>
      <top/>
      <bottom/>
      <diagonal/>
    </border>
    <border>
      <left/>
      <right/>
      <top/>
      <bottom/>
      <diagonal/>
    </border>
    <border>
      <left/>
      <right/>
      <top/>
      <bottom/>
      <diagonal/>
    </border>
    <border>
      <left style="medium">
        <color rgb="FF000000"/>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top style="medium">
        <color rgb="FF000000"/>
      </top>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s>
  <cellStyleXfs count="1">
    <xf numFmtId="0" fontId="0" fillId="0" borderId="0"/>
  </cellStyleXfs>
  <cellXfs count="105">
    <xf numFmtId="0" fontId="0" fillId="0" borderId="0" xfId="0"/>
    <xf numFmtId="165" fontId="1" fillId="2" borderId="1" xfId="0" applyNumberFormat="1" applyFont="1" applyFill="1" applyBorder="1" applyAlignment="1">
      <alignment horizontal="center"/>
    </xf>
    <xf numFmtId="166" fontId="1" fillId="2" borderId="1" xfId="0" applyNumberFormat="1" applyFont="1" applyFill="1" applyBorder="1"/>
    <xf numFmtId="0" fontId="1" fillId="2" borderId="1" xfId="0" applyFont="1" applyFill="1" applyBorder="1"/>
    <xf numFmtId="1" fontId="1" fillId="2" borderId="5" xfId="0" applyNumberFormat="1" applyFont="1" applyFill="1" applyBorder="1"/>
    <xf numFmtId="165" fontId="1" fillId="2" borderId="6" xfId="0" applyNumberFormat="1" applyFont="1" applyFill="1" applyBorder="1" applyAlignment="1">
      <alignment horizontal="center"/>
    </xf>
    <xf numFmtId="166" fontId="1" fillId="2" borderId="6" xfId="0" applyNumberFormat="1" applyFont="1" applyFill="1" applyBorder="1" applyAlignment="1">
      <alignment horizontal="center"/>
    </xf>
    <xf numFmtId="166" fontId="1" fillId="2" borderId="1" xfId="0" applyNumberFormat="1" applyFont="1" applyFill="1" applyBorder="1" applyAlignment="1">
      <alignment horizontal="left"/>
    </xf>
    <xf numFmtId="166" fontId="1" fillId="2" borderId="10" xfId="0" applyNumberFormat="1" applyFont="1" applyFill="1" applyBorder="1" applyAlignment="1">
      <alignment horizontal="left"/>
    </xf>
    <xf numFmtId="166" fontId="1" fillId="0" borderId="1" xfId="0" applyNumberFormat="1" applyFont="1" applyBorder="1"/>
    <xf numFmtId="166" fontId="1" fillId="2" borderId="15" xfId="0" applyNumberFormat="1" applyFont="1" applyFill="1" applyBorder="1"/>
    <xf numFmtId="166" fontId="1" fillId="2" borderId="13" xfId="0" applyNumberFormat="1" applyFont="1" applyFill="1" applyBorder="1"/>
    <xf numFmtId="165" fontId="1" fillId="2" borderId="2" xfId="0" applyNumberFormat="1" applyFont="1" applyFill="1" applyBorder="1" applyAlignment="1">
      <alignment horizontal="center"/>
    </xf>
    <xf numFmtId="166" fontId="1" fillId="2" borderId="14" xfId="0" applyNumberFormat="1" applyFont="1" applyFill="1" applyBorder="1"/>
    <xf numFmtId="0" fontId="1" fillId="3" borderId="1" xfId="0" applyFont="1" applyFill="1" applyBorder="1"/>
    <xf numFmtId="0" fontId="1" fillId="3" borderId="22" xfId="0" applyFont="1" applyFill="1" applyBorder="1"/>
    <xf numFmtId="0" fontId="4" fillId="3" borderId="1" xfId="0" applyFont="1" applyFill="1" applyBorder="1" applyAlignment="1">
      <alignment horizontal="left"/>
    </xf>
    <xf numFmtId="166" fontId="4" fillId="2" borderId="23" xfId="0" applyNumberFormat="1" applyFont="1" applyFill="1" applyBorder="1" applyAlignment="1">
      <alignment horizontal="left" vertical="center"/>
    </xf>
    <xf numFmtId="0" fontId="1" fillId="3" borderId="1" xfId="0" applyFont="1" applyFill="1" applyBorder="1" applyAlignment="1">
      <alignment horizontal="left"/>
    </xf>
    <xf numFmtId="0" fontId="4" fillId="3" borderId="6" xfId="0" applyFont="1" applyFill="1" applyBorder="1" applyAlignment="1">
      <alignment horizontal="left"/>
    </xf>
    <xf numFmtId="165" fontId="4" fillId="3" borderId="6" xfId="0" applyNumberFormat="1" applyFont="1" applyFill="1" applyBorder="1" applyAlignment="1">
      <alignment horizontal="center" vertical="center"/>
    </xf>
    <xf numFmtId="0" fontId="1" fillId="3" borderId="6" xfId="0" applyFont="1" applyFill="1" applyBorder="1"/>
    <xf numFmtId="0" fontId="5" fillId="3" borderId="6" xfId="0" applyFont="1" applyFill="1" applyBorder="1" applyAlignment="1">
      <alignment horizontal="left" vertical="center"/>
    </xf>
    <xf numFmtId="165" fontId="4" fillId="3" borderId="1" xfId="0" applyNumberFormat="1" applyFont="1" applyFill="1" applyBorder="1" applyAlignment="1">
      <alignment horizontal="center" vertical="center"/>
    </xf>
    <xf numFmtId="0" fontId="5" fillId="3" borderId="1" xfId="0" applyFont="1" applyFill="1" applyBorder="1" applyAlignment="1">
      <alignment horizontal="left" vertical="center"/>
    </xf>
    <xf numFmtId="0" fontId="1" fillId="4" borderId="22" xfId="0" applyFont="1" applyFill="1" applyBorder="1" applyAlignment="1">
      <alignment horizontal="left"/>
    </xf>
    <xf numFmtId="0" fontId="1" fillId="4" borderId="22" xfId="0" applyFont="1" applyFill="1" applyBorder="1"/>
    <xf numFmtId="0" fontId="1" fillId="3" borderId="1" xfId="0" applyFont="1" applyFill="1" applyBorder="1" applyAlignment="1">
      <alignment vertical="center"/>
    </xf>
    <xf numFmtId="0" fontId="4" fillId="4" borderId="1" xfId="0" applyFont="1" applyFill="1" applyBorder="1" applyAlignment="1">
      <alignment horizontal="left" vertical="center"/>
    </xf>
    <xf numFmtId="166" fontId="4" fillId="4" borderId="23" xfId="0" applyNumberFormat="1" applyFont="1" applyFill="1" applyBorder="1" applyAlignment="1">
      <alignment horizontal="center" vertical="center"/>
    </xf>
    <xf numFmtId="0" fontId="1" fillId="4" borderId="1" xfId="0" applyFont="1" applyFill="1" applyBorder="1" applyAlignment="1">
      <alignment vertical="center"/>
    </xf>
    <xf numFmtId="0" fontId="1" fillId="6" borderId="23" xfId="0" applyFont="1" applyFill="1" applyBorder="1" applyAlignment="1">
      <alignment horizontal="center" vertical="center"/>
    </xf>
    <xf numFmtId="0" fontId="6" fillId="4" borderId="1" xfId="0" applyFont="1" applyFill="1" applyBorder="1" applyAlignment="1">
      <alignment vertical="center"/>
    </xf>
    <xf numFmtId="0" fontId="1" fillId="4" borderId="9" xfId="0" applyFont="1" applyFill="1" applyBorder="1" applyAlignment="1">
      <alignment vertical="center"/>
    </xf>
    <xf numFmtId="0" fontId="1" fillId="4" borderId="1" xfId="0" applyFont="1" applyFill="1" applyBorder="1" applyAlignment="1">
      <alignment horizontal="left"/>
    </xf>
    <xf numFmtId="0" fontId="1" fillId="4" borderId="1" xfId="0" applyFont="1" applyFill="1" applyBorder="1"/>
    <xf numFmtId="0" fontId="1" fillId="4" borderId="9" xfId="0" applyFont="1" applyFill="1" applyBorder="1"/>
    <xf numFmtId="169" fontId="4" fillId="4" borderId="23" xfId="0" applyNumberFormat="1" applyFont="1" applyFill="1" applyBorder="1" applyAlignment="1">
      <alignment horizontal="center" vertical="center"/>
    </xf>
    <xf numFmtId="0" fontId="1" fillId="3" borderId="23" xfId="0" applyFont="1" applyFill="1" applyBorder="1" applyAlignment="1">
      <alignment horizontal="center" vertical="center"/>
    </xf>
    <xf numFmtId="0" fontId="4" fillId="4" borderId="1" xfId="0" applyFont="1" applyFill="1" applyBorder="1"/>
    <xf numFmtId="0" fontId="4" fillId="4" borderId="23" xfId="0" applyFont="1" applyFill="1" applyBorder="1" applyAlignment="1">
      <alignment horizontal="center" vertical="center"/>
    </xf>
    <xf numFmtId="166" fontId="1" fillId="4" borderId="23" xfId="0" applyNumberFormat="1" applyFont="1" applyFill="1" applyBorder="1" applyAlignment="1">
      <alignment horizontal="left" vertical="center"/>
    </xf>
    <xf numFmtId="0" fontId="1" fillId="4" borderId="1" xfId="0" applyFont="1" applyFill="1" applyBorder="1" applyAlignment="1">
      <alignment horizontal="center"/>
    </xf>
    <xf numFmtId="0" fontId="1" fillId="2" borderId="1" xfId="0" applyFont="1" applyFill="1" applyBorder="1" applyAlignment="1">
      <alignment horizontal="center"/>
    </xf>
    <xf numFmtId="0" fontId="3" fillId="2" borderId="1" xfId="0" applyFont="1" applyFill="1" applyBorder="1"/>
    <xf numFmtId="0" fontId="1" fillId="5" borderId="18"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1" fillId="7" borderId="30"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28" xfId="0" applyFont="1" applyFill="1" applyBorder="1" applyAlignment="1">
      <alignment horizontal="center" vertical="center"/>
    </xf>
    <xf numFmtId="0" fontId="4" fillId="7" borderId="32" xfId="0" applyFont="1" applyFill="1" applyBorder="1" applyAlignment="1">
      <alignment horizontal="center" vertical="center"/>
    </xf>
    <xf numFmtId="0" fontId="4" fillId="2" borderId="33" xfId="0" applyFont="1" applyFill="1" applyBorder="1" applyAlignment="1">
      <alignment horizontal="center"/>
    </xf>
    <xf numFmtId="0" fontId="1" fillId="2" borderId="7" xfId="0" applyFont="1" applyFill="1" applyBorder="1" applyAlignment="1">
      <alignment horizontal="center"/>
    </xf>
    <xf numFmtId="0" fontId="1" fillId="2" borderId="34" xfId="0" applyFont="1" applyFill="1" applyBorder="1" applyAlignment="1">
      <alignment horizontal="center"/>
    </xf>
    <xf numFmtId="0" fontId="1" fillId="2" borderId="22" xfId="0" applyFont="1" applyFill="1" applyBorder="1" applyAlignment="1">
      <alignment horizontal="center"/>
    </xf>
    <xf numFmtId="0" fontId="1" fillId="2" borderId="4" xfId="0" applyFont="1" applyFill="1" applyBorder="1" applyAlignment="1">
      <alignment horizontal="center"/>
    </xf>
    <xf numFmtId="0" fontId="1" fillId="2" borderId="12" xfId="0" applyFont="1" applyFill="1" applyBorder="1" applyAlignment="1">
      <alignment horizontal="center"/>
    </xf>
    <xf numFmtId="0" fontId="7" fillId="2" borderId="1" xfId="0" applyFont="1" applyFill="1" applyBorder="1" applyAlignment="1">
      <alignment horizontal="left"/>
    </xf>
    <xf numFmtId="0" fontId="1" fillId="2" borderId="8" xfId="0" applyFont="1" applyFill="1" applyBorder="1" applyAlignment="1">
      <alignment horizontal="center"/>
    </xf>
    <xf numFmtId="0" fontId="1" fillId="2" borderId="9" xfId="0" applyFont="1" applyFill="1" applyBorder="1" applyAlignment="1">
      <alignment horizontal="center"/>
    </xf>
    <xf numFmtId="0" fontId="4" fillId="2" borderId="35" xfId="0" applyFont="1" applyFill="1" applyBorder="1" applyAlignment="1">
      <alignment horizontal="center"/>
    </xf>
    <xf numFmtId="0" fontId="1" fillId="2" borderId="36" xfId="0" applyFont="1" applyFill="1" applyBorder="1" applyAlignment="1">
      <alignment horizontal="center"/>
    </xf>
    <xf numFmtId="0" fontId="1" fillId="2" borderId="37" xfId="0" applyFont="1" applyFill="1" applyBorder="1" applyAlignment="1">
      <alignment horizontal="center"/>
    </xf>
    <xf numFmtId="0" fontId="1" fillId="2" borderId="38" xfId="0" applyFont="1" applyFill="1" applyBorder="1" applyAlignment="1">
      <alignment horizontal="center"/>
    </xf>
    <xf numFmtId="0" fontId="1" fillId="2" borderId="39" xfId="0" applyFont="1" applyFill="1" applyBorder="1" applyAlignment="1">
      <alignment horizontal="center"/>
    </xf>
    <xf numFmtId="0" fontId="1" fillId="4" borderId="18" xfId="0" applyFont="1" applyFill="1" applyBorder="1" applyAlignment="1">
      <alignment horizontal="center" vertical="center"/>
    </xf>
    <xf numFmtId="0" fontId="4" fillId="4" borderId="28" xfId="0" applyFont="1" applyFill="1" applyBorder="1" applyAlignment="1">
      <alignment horizontal="center" vertical="center"/>
    </xf>
    <xf numFmtId="1" fontId="4" fillId="4" borderId="28" xfId="0" applyNumberFormat="1" applyFont="1" applyFill="1" applyBorder="1" applyAlignment="1">
      <alignment horizontal="center" vertical="center"/>
    </xf>
    <xf numFmtId="0" fontId="1" fillId="4" borderId="28" xfId="0" applyFont="1" applyFill="1" applyBorder="1" applyAlignment="1">
      <alignment horizontal="center" vertical="center"/>
    </xf>
    <xf numFmtId="0" fontId="1" fillId="4" borderId="32" xfId="0" applyFont="1" applyFill="1" applyBorder="1" applyAlignment="1">
      <alignment horizontal="center" vertical="center"/>
    </xf>
    <xf numFmtId="1" fontId="1" fillId="2" borderId="42" xfId="0" applyNumberFormat="1" applyFont="1" applyFill="1" applyBorder="1"/>
    <xf numFmtId="0" fontId="8" fillId="2" borderId="1" xfId="0" applyFont="1" applyFill="1" applyBorder="1"/>
    <xf numFmtId="0" fontId="7" fillId="2" borderId="1" xfId="0" applyFont="1" applyFill="1" applyBorder="1"/>
    <xf numFmtId="0" fontId="9" fillId="8" borderId="1" xfId="0" applyFont="1" applyFill="1" applyBorder="1"/>
    <xf numFmtId="0" fontId="9" fillId="2" borderId="49" xfId="0" applyFont="1" applyFill="1" applyBorder="1" applyAlignment="1">
      <alignment vertical="top"/>
    </xf>
    <xf numFmtId="0" fontId="9" fillId="2" borderId="50" xfId="0" applyFont="1" applyFill="1" applyBorder="1" applyAlignment="1">
      <alignment vertical="top"/>
    </xf>
    <xf numFmtId="0" fontId="9" fillId="2" borderId="51" xfId="0" applyFont="1" applyFill="1" applyBorder="1" applyAlignment="1">
      <alignment vertical="top"/>
    </xf>
    <xf numFmtId="0" fontId="9" fillId="2" borderId="8" xfId="0" applyFont="1" applyFill="1" applyBorder="1" applyAlignment="1">
      <alignment vertical="top"/>
    </xf>
    <xf numFmtId="0" fontId="1" fillId="2" borderId="1" xfId="0" applyFont="1" applyFill="1" applyBorder="1" applyAlignment="1">
      <alignment vertical="top" wrapText="1"/>
    </xf>
    <xf numFmtId="0" fontId="9" fillId="2" borderId="52" xfId="0" applyFont="1" applyFill="1" applyBorder="1" applyAlignment="1">
      <alignment vertical="top"/>
    </xf>
    <xf numFmtId="0" fontId="4" fillId="2" borderId="1" xfId="0" applyFont="1" applyFill="1" applyBorder="1" applyAlignment="1">
      <alignment vertical="top" wrapText="1"/>
    </xf>
    <xf numFmtId="0" fontId="7" fillId="2" borderId="1" xfId="0" applyFont="1" applyFill="1" applyBorder="1" applyAlignment="1">
      <alignment vertical="top" wrapText="1"/>
    </xf>
    <xf numFmtId="0" fontId="2" fillId="0" borderId="3" xfId="0" applyFont="1" applyBorder="1"/>
    <xf numFmtId="0" fontId="2" fillId="0" borderId="20" xfId="0" applyFont="1" applyBorder="1"/>
    <xf numFmtId="0" fontId="2" fillId="0" borderId="21" xfId="0" applyFont="1" applyBorder="1"/>
    <xf numFmtId="0" fontId="3" fillId="3" borderId="2" xfId="0" applyFont="1" applyFill="1" applyBorder="1" applyAlignment="1">
      <alignment horizontal="left" vertical="center"/>
    </xf>
    <xf numFmtId="168" fontId="4" fillId="7" borderId="19" xfId="0" applyNumberFormat="1" applyFont="1" applyFill="1" applyBorder="1" applyAlignment="1">
      <alignment horizontal="center" vertical="center"/>
    </xf>
    <xf numFmtId="0" fontId="5" fillId="3" borderId="24" xfId="0" applyFont="1" applyFill="1" applyBorder="1" applyAlignment="1">
      <alignment horizontal="left" vertical="center" wrapText="1"/>
    </xf>
    <xf numFmtId="0" fontId="2" fillId="0" borderId="17" xfId="0" applyFont="1" applyBorder="1"/>
    <xf numFmtId="0" fontId="2" fillId="0" borderId="14" xfId="0" applyFont="1" applyBorder="1"/>
    <xf numFmtId="0" fontId="2" fillId="0" borderId="25" xfId="0" applyFont="1" applyBorder="1"/>
    <xf numFmtId="0" fontId="0" fillId="0" borderId="0" xfId="0"/>
    <xf numFmtId="0" fontId="2" fillId="0" borderId="26" xfId="0" applyFont="1" applyBorder="1"/>
    <xf numFmtId="0" fontId="2" fillId="0" borderId="27" xfId="0" applyFont="1" applyBorder="1"/>
    <xf numFmtId="0" fontId="2" fillId="0" borderId="16" xfId="0" applyFont="1" applyBorder="1"/>
    <xf numFmtId="0" fontId="2" fillId="0" borderId="11" xfId="0" applyFont="1" applyBorder="1"/>
    <xf numFmtId="0" fontId="1" fillId="2" borderId="40" xfId="0" applyFont="1" applyFill="1" applyBorder="1" applyAlignment="1">
      <alignment horizontal="left"/>
    </xf>
    <xf numFmtId="0" fontId="2" fillId="0" borderId="41" xfId="0" applyFont="1" applyBorder="1"/>
    <xf numFmtId="0" fontId="4" fillId="7" borderId="43" xfId="0" applyFont="1" applyFill="1" applyBorder="1" applyAlignment="1">
      <alignment horizontal="center" vertical="center"/>
    </xf>
    <xf numFmtId="0" fontId="2" fillId="0" borderId="44" xfId="0" applyFont="1" applyBorder="1"/>
    <xf numFmtId="0" fontId="2" fillId="0" borderId="45" xfId="0" applyFont="1" applyBorder="1"/>
    <xf numFmtId="0" fontId="2" fillId="0" borderId="46" xfId="0" applyFont="1" applyBorder="1"/>
    <xf numFmtId="0" fontId="2" fillId="0" borderId="47" xfId="0" applyFont="1" applyBorder="1"/>
    <xf numFmtId="0" fontId="2" fillId="0" borderId="48" xfId="0" applyFont="1" applyBorder="1"/>
  </cellXfs>
  <cellStyles count="1">
    <cellStyle name="Normal" xfId="0" builtinId="0"/>
  </cellStyles>
  <dxfs count="16">
    <dxf>
      <font>
        <color rgb="FFCCFFFF"/>
      </font>
      <fill>
        <patternFill patternType="none"/>
      </fill>
    </dxf>
    <dxf>
      <font>
        <color rgb="FFDDDDDD"/>
      </font>
      <fill>
        <patternFill patternType="none"/>
      </fill>
    </dxf>
    <dxf>
      <fill>
        <patternFill patternType="solid">
          <fgColor rgb="FFFF9900"/>
          <bgColor rgb="FFFF9900"/>
        </patternFill>
      </fill>
    </dxf>
    <dxf>
      <fill>
        <patternFill patternType="solid">
          <fgColor rgb="FF99CC00"/>
          <bgColor rgb="FF99CC00"/>
        </patternFill>
      </fill>
    </dxf>
    <dxf>
      <fill>
        <patternFill patternType="solid">
          <fgColor rgb="FFFF9900"/>
          <bgColor rgb="FFFF9900"/>
        </patternFill>
      </fill>
    </dxf>
    <dxf>
      <fill>
        <patternFill patternType="solid">
          <fgColor rgb="FF99CC00"/>
          <bgColor rgb="FF99CC00"/>
        </patternFill>
      </fill>
    </dxf>
    <dxf>
      <fill>
        <patternFill patternType="solid">
          <fgColor rgb="FFFF9900"/>
          <bgColor rgb="FFFF9900"/>
        </patternFill>
      </fill>
    </dxf>
    <dxf>
      <fill>
        <patternFill patternType="solid">
          <fgColor rgb="FF99CC00"/>
          <bgColor rgb="FF99CC00"/>
        </patternFill>
      </fill>
    </dxf>
    <dxf>
      <fill>
        <patternFill patternType="solid">
          <fgColor rgb="FF99CC00"/>
          <bgColor rgb="FF99CC00"/>
        </patternFill>
      </fill>
    </dxf>
    <dxf>
      <fill>
        <patternFill patternType="solid">
          <fgColor rgb="FF99CC00"/>
          <bgColor rgb="FF99CC00"/>
        </patternFill>
      </fill>
    </dxf>
    <dxf>
      <fill>
        <patternFill patternType="solid">
          <fgColor rgb="FF99CC00"/>
          <bgColor rgb="FF99CC00"/>
        </patternFill>
      </fill>
    </dxf>
    <dxf>
      <font>
        <color rgb="FFFF0000"/>
      </font>
      <fill>
        <patternFill patternType="none"/>
      </fill>
    </dxf>
    <dxf>
      <fill>
        <patternFill patternType="solid">
          <fgColor rgb="FFB7E1CD"/>
          <bgColor rgb="FFB7E1CD"/>
        </patternFill>
      </fill>
    </dxf>
    <dxf>
      <font>
        <color rgb="FFFF0000"/>
      </font>
      <fill>
        <patternFill patternType="none"/>
      </fill>
    </dxf>
    <dxf>
      <font>
        <color rgb="FFFFFFFF"/>
      </font>
      <fill>
        <patternFill patternType="solid">
          <fgColor rgb="FFFF0000"/>
          <bgColor rgb="FFFF0000"/>
        </patternFill>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8"/>
  <sheetViews>
    <sheetView tabSelected="1" workbookViewId="0">
      <pane ySplit="1" topLeftCell="A2" activePane="bottomLeft" state="frozen"/>
      <selection pane="bottomLeft" activeCell="C4" sqref="C3:C4"/>
    </sheetView>
  </sheetViews>
  <sheetFormatPr defaultColWidth="14.3984375" defaultRowHeight="15" customHeight="1" x14ac:dyDescent="0.3"/>
  <cols>
    <col min="1" max="1" width="7.09765625" customWidth="1"/>
    <col min="2" max="2" width="12.296875" customWidth="1"/>
    <col min="3" max="3" width="13.09765625" customWidth="1"/>
    <col min="4" max="5" width="5.69921875" customWidth="1"/>
  </cols>
  <sheetData>
    <row r="1" spans="1:3" ht="12" customHeight="1" thickBot="1" x14ac:dyDescent="0.35">
      <c r="A1" s="4" t="s">
        <v>1</v>
      </c>
      <c r="B1" s="5" t="s">
        <v>3</v>
      </c>
      <c r="C1" s="6" t="s">
        <v>4</v>
      </c>
    </row>
    <row r="2" spans="1:3" ht="11.25" customHeight="1" x14ac:dyDescent="0.3">
      <c r="A2" t="s">
        <v>2</v>
      </c>
      <c r="B2" s="1" t="s">
        <v>5</v>
      </c>
      <c r="C2" s="7">
        <v>1</v>
      </c>
    </row>
    <row r="3" spans="1:3" ht="11.25" customHeight="1" x14ac:dyDescent="0.3">
      <c r="A3" t="s">
        <v>2</v>
      </c>
      <c r="B3" s="1" t="s">
        <v>6</v>
      </c>
      <c r="C3" s="7">
        <v>2</v>
      </c>
    </row>
    <row r="4" spans="1:3" ht="11.25" customHeight="1" x14ac:dyDescent="0.3">
      <c r="A4" t="s">
        <v>2</v>
      </c>
      <c r="B4" s="1" t="s">
        <v>7</v>
      </c>
      <c r="C4" s="7">
        <v>3</v>
      </c>
    </row>
    <row r="5" spans="1:3" ht="11.25" customHeight="1" x14ac:dyDescent="0.3">
      <c r="A5" t="s">
        <v>2</v>
      </c>
      <c r="B5" s="1" t="s">
        <v>8</v>
      </c>
      <c r="C5" s="7">
        <v>4</v>
      </c>
    </row>
    <row r="6" spans="1:3" ht="11.25" customHeight="1" x14ac:dyDescent="0.3">
      <c r="A6" t="s">
        <v>2</v>
      </c>
      <c r="B6" s="1" t="s">
        <v>9</v>
      </c>
      <c r="C6" s="7">
        <v>113331</v>
      </c>
    </row>
    <row r="7" spans="1:3" ht="11.25" customHeight="1" x14ac:dyDescent="0.3">
      <c r="A7" t="s">
        <v>2</v>
      </c>
      <c r="B7" s="1" t="s">
        <v>10</v>
      </c>
      <c r="C7" s="8">
        <v>11111113</v>
      </c>
    </row>
    <row r="8" spans="1:3" ht="11.25" customHeight="1" x14ac:dyDescent="0.3">
      <c r="A8" t="s">
        <v>2</v>
      </c>
      <c r="B8" s="1" t="s">
        <v>11</v>
      </c>
      <c r="C8" s="7">
        <v>113332</v>
      </c>
    </row>
    <row r="9" spans="1:3" ht="11.25" customHeight="1" x14ac:dyDescent="0.3">
      <c r="A9" t="s">
        <v>2</v>
      </c>
      <c r="B9" s="1" t="s">
        <v>12</v>
      </c>
      <c r="C9" s="7">
        <v>11</v>
      </c>
    </row>
    <row r="10" spans="1:3" ht="11.25" customHeight="1" x14ac:dyDescent="0.3">
      <c r="A10" t="s">
        <v>2</v>
      </c>
      <c r="B10" s="1" t="s">
        <v>13</v>
      </c>
      <c r="C10" s="7">
        <v>11133</v>
      </c>
    </row>
    <row r="11" spans="1:3" ht="11.25" customHeight="1" x14ac:dyDescent="0.3">
      <c r="A11" t="s">
        <v>2</v>
      </c>
      <c r="B11" s="1" t="s">
        <v>14</v>
      </c>
      <c r="C11" s="7">
        <v>111123</v>
      </c>
    </row>
    <row r="12" spans="1:3" ht="11.25" customHeight="1" x14ac:dyDescent="0.3">
      <c r="A12" t="s">
        <v>2</v>
      </c>
      <c r="B12" s="1" t="s">
        <v>15</v>
      </c>
      <c r="C12" s="7">
        <v>11112231</v>
      </c>
    </row>
    <row r="13" spans="1:3" ht="11.25" customHeight="1" x14ac:dyDescent="0.3">
      <c r="A13" t="s">
        <v>2</v>
      </c>
      <c r="B13" s="1" t="s">
        <v>16</v>
      </c>
      <c r="C13" s="7">
        <v>1111223232</v>
      </c>
    </row>
    <row r="14" spans="1:3" ht="11.25" customHeight="1" x14ac:dyDescent="0.3">
      <c r="A14" t="s">
        <v>2</v>
      </c>
      <c r="B14" s="1" t="s">
        <v>17</v>
      </c>
      <c r="C14" s="7">
        <v>113223213</v>
      </c>
    </row>
    <row r="15" spans="1:3" ht="11.25" customHeight="1" x14ac:dyDescent="0.3">
      <c r="A15" t="s">
        <v>2</v>
      </c>
      <c r="B15" s="1" t="s">
        <v>18</v>
      </c>
      <c r="C15" s="7">
        <v>1132233</v>
      </c>
    </row>
    <row r="16" spans="1:3" ht="11.25" customHeight="1" x14ac:dyDescent="0.3">
      <c r="A16" t="s">
        <v>2</v>
      </c>
      <c r="B16" s="1" t="s">
        <v>19</v>
      </c>
      <c r="C16" s="7">
        <v>113222</v>
      </c>
    </row>
    <row r="17" spans="1:3" ht="11.25" customHeight="1" x14ac:dyDescent="0.3">
      <c r="A17" t="s">
        <v>2</v>
      </c>
      <c r="B17" s="1" t="s">
        <v>20</v>
      </c>
      <c r="C17" s="7">
        <v>11323</v>
      </c>
    </row>
    <row r="18" spans="1:3" ht="11.25" customHeight="1" x14ac:dyDescent="0.3">
      <c r="A18" t="s">
        <v>2</v>
      </c>
      <c r="B18" s="1" t="s">
        <v>21</v>
      </c>
      <c r="C18" s="2">
        <v>11322312</v>
      </c>
    </row>
    <row r="19" spans="1:3" ht="11.25" customHeight="1" x14ac:dyDescent="0.3">
      <c r="A19" t="s">
        <v>2</v>
      </c>
      <c r="B19" s="1" t="s">
        <v>22</v>
      </c>
      <c r="C19" s="2">
        <v>11322311</v>
      </c>
    </row>
    <row r="20" spans="1:3" ht="11.25" customHeight="1" x14ac:dyDescent="0.3">
      <c r="A20" t="s">
        <v>2</v>
      </c>
      <c r="B20" s="1" t="s">
        <v>23</v>
      </c>
      <c r="C20" s="2">
        <v>11322313</v>
      </c>
    </row>
    <row r="21" spans="1:3" ht="11.25" customHeight="1" x14ac:dyDescent="0.3">
      <c r="A21" t="s">
        <v>2</v>
      </c>
      <c r="B21" s="1" t="s">
        <v>24</v>
      </c>
      <c r="C21" s="2">
        <v>11322314</v>
      </c>
    </row>
    <row r="22" spans="1:3" ht="11.25" customHeight="1" x14ac:dyDescent="0.3">
      <c r="A22" t="s">
        <v>2</v>
      </c>
      <c r="B22" s="1" t="s">
        <v>25</v>
      </c>
      <c r="C22" s="2">
        <v>11322315</v>
      </c>
    </row>
    <row r="23" spans="1:3" ht="11.25" customHeight="1" x14ac:dyDescent="0.3">
      <c r="A23" t="s">
        <v>2</v>
      </c>
      <c r="B23" s="1" t="s">
        <v>26</v>
      </c>
      <c r="C23" s="2">
        <v>111122326</v>
      </c>
    </row>
    <row r="24" spans="1:3" ht="11.25" customHeight="1" x14ac:dyDescent="0.3">
      <c r="A24" t="s">
        <v>2</v>
      </c>
      <c r="B24" s="1" t="s">
        <v>27</v>
      </c>
      <c r="C24" s="2">
        <v>11322322</v>
      </c>
    </row>
    <row r="25" spans="1:3" ht="11.25" customHeight="1" x14ac:dyDescent="0.3">
      <c r="A25" t="s">
        <v>2</v>
      </c>
      <c r="B25" s="1" t="s">
        <v>28</v>
      </c>
      <c r="C25" s="2">
        <v>11322324</v>
      </c>
    </row>
    <row r="26" spans="1:3" ht="11.25" customHeight="1" x14ac:dyDescent="0.3">
      <c r="A26" t="s">
        <v>2</v>
      </c>
      <c r="B26" s="1" t="s">
        <v>29</v>
      </c>
      <c r="C26" s="2">
        <v>113223215</v>
      </c>
    </row>
    <row r="27" spans="1:3" ht="11.25" customHeight="1" x14ac:dyDescent="0.3">
      <c r="A27" t="s">
        <v>2</v>
      </c>
      <c r="B27" s="1" t="s">
        <v>30</v>
      </c>
      <c r="C27" s="2">
        <v>113221</v>
      </c>
    </row>
    <row r="28" spans="1:3" ht="11.25" customHeight="1" x14ac:dyDescent="0.3">
      <c r="A28" t="s">
        <v>2</v>
      </c>
      <c r="B28" s="1" t="s">
        <v>31</v>
      </c>
      <c r="C28" s="2">
        <v>1113</v>
      </c>
    </row>
    <row r="29" spans="1:3" ht="11.25" customHeight="1" x14ac:dyDescent="0.3">
      <c r="A29" t="s">
        <v>2</v>
      </c>
      <c r="B29" s="1" t="s">
        <v>32</v>
      </c>
      <c r="C29" s="2">
        <v>113</v>
      </c>
    </row>
    <row r="30" spans="1:3" ht="11.25" customHeight="1" x14ac:dyDescent="0.3">
      <c r="A30" t="s">
        <v>2</v>
      </c>
      <c r="B30" s="1" t="s">
        <v>33</v>
      </c>
      <c r="C30" s="2">
        <v>131</v>
      </c>
    </row>
    <row r="31" spans="1:3" ht="11.25" customHeight="1" x14ac:dyDescent="0.3">
      <c r="A31" t="s">
        <v>2</v>
      </c>
      <c r="B31" s="1" t="s">
        <v>34</v>
      </c>
      <c r="C31" s="2">
        <v>12</v>
      </c>
    </row>
    <row r="32" spans="1:3" ht="11.25" customHeight="1" x14ac:dyDescent="0.3">
      <c r="A32" t="s">
        <v>2</v>
      </c>
      <c r="B32" s="1" t="s">
        <v>35</v>
      </c>
      <c r="C32" s="2">
        <v>1323</v>
      </c>
    </row>
    <row r="33" spans="1:3" ht="11.25" customHeight="1" x14ac:dyDescent="0.3">
      <c r="A33" t="s">
        <v>2</v>
      </c>
      <c r="B33" s="1" t="s">
        <v>36</v>
      </c>
      <c r="C33" s="2">
        <v>132311</v>
      </c>
    </row>
    <row r="34" spans="1:3" ht="11.25" customHeight="1" x14ac:dyDescent="0.3">
      <c r="A34" t="s">
        <v>2</v>
      </c>
      <c r="B34" s="1" t="s">
        <v>37</v>
      </c>
      <c r="C34" s="2">
        <v>1323121</v>
      </c>
    </row>
    <row r="35" spans="1:3" ht="11.25" customHeight="1" x14ac:dyDescent="0.3">
      <c r="A35" t="s">
        <v>2</v>
      </c>
      <c r="B35" s="1" t="s">
        <v>38</v>
      </c>
      <c r="C35" s="2">
        <v>1323122</v>
      </c>
    </row>
    <row r="36" spans="1:3" ht="11.25" customHeight="1" x14ac:dyDescent="0.3">
      <c r="A36" t="s">
        <v>2</v>
      </c>
      <c r="B36" s="1" t="s">
        <v>39</v>
      </c>
      <c r="C36" s="2">
        <v>1323123</v>
      </c>
    </row>
    <row r="37" spans="1:3" ht="11.25" customHeight="1" x14ac:dyDescent="0.3">
      <c r="A37" t="s">
        <v>2</v>
      </c>
      <c r="B37" s="1" t="s">
        <v>40</v>
      </c>
      <c r="C37" s="2">
        <v>1323124</v>
      </c>
    </row>
    <row r="38" spans="1:3" ht="11.25" customHeight="1" x14ac:dyDescent="0.3">
      <c r="A38" t="s">
        <v>2</v>
      </c>
      <c r="B38" s="1" t="s">
        <v>41</v>
      </c>
      <c r="C38" s="2">
        <v>132312</v>
      </c>
    </row>
    <row r="39" spans="1:3" ht="11.25" customHeight="1" x14ac:dyDescent="0.3">
      <c r="A39" t="s">
        <v>2</v>
      </c>
      <c r="B39" s="1" t="s">
        <v>42</v>
      </c>
      <c r="C39" s="2">
        <v>1162</v>
      </c>
    </row>
    <row r="40" spans="1:3" ht="11.25" customHeight="1" x14ac:dyDescent="0.3">
      <c r="A40" t="s">
        <v>2</v>
      </c>
      <c r="B40" s="1" t="s">
        <v>43</v>
      </c>
      <c r="C40" s="2">
        <v>1161</v>
      </c>
    </row>
    <row r="41" spans="1:3" ht="11.25" customHeight="1" x14ac:dyDescent="0.3">
      <c r="A41" t="s">
        <v>2</v>
      </c>
      <c r="B41" s="1" t="s">
        <v>44</v>
      </c>
      <c r="C41" s="2">
        <v>114</v>
      </c>
    </row>
    <row r="42" spans="1:3" ht="11.25" customHeight="1" x14ac:dyDescent="0.3">
      <c r="A42" t="s">
        <v>2</v>
      </c>
      <c r="B42" s="1" t="s">
        <v>45</v>
      </c>
      <c r="C42" s="2">
        <v>111</v>
      </c>
    </row>
    <row r="43" spans="1:3" ht="11.25" customHeight="1" x14ac:dyDescent="0.3">
      <c r="A43" t="s">
        <v>2</v>
      </c>
      <c r="B43" s="1" t="s">
        <v>46</v>
      </c>
      <c r="C43" s="2">
        <v>14</v>
      </c>
    </row>
    <row r="44" spans="1:3" ht="11.25" customHeight="1" x14ac:dyDescent="0.3">
      <c r="A44" t="s">
        <v>2</v>
      </c>
      <c r="B44" s="1" t="s">
        <v>47</v>
      </c>
      <c r="C44" s="2">
        <v>1133</v>
      </c>
    </row>
    <row r="45" spans="1:3" ht="11.25" customHeight="1" x14ac:dyDescent="0.3">
      <c r="A45" t="s">
        <v>2</v>
      </c>
      <c r="B45" s="1" t="s">
        <v>48</v>
      </c>
      <c r="C45" s="2">
        <v>13</v>
      </c>
    </row>
    <row r="46" spans="1:3" ht="11.25" customHeight="1" x14ac:dyDescent="0.3">
      <c r="A46" t="s">
        <v>2</v>
      </c>
      <c r="B46" s="1" t="s">
        <v>49</v>
      </c>
      <c r="C46" s="2">
        <v>1132232131</v>
      </c>
    </row>
    <row r="47" spans="1:3" ht="11.25" customHeight="1" x14ac:dyDescent="0.3">
      <c r="A47" t="s">
        <v>2</v>
      </c>
      <c r="B47" s="1" t="s">
        <v>50</v>
      </c>
      <c r="C47" s="2">
        <v>11112</v>
      </c>
    </row>
    <row r="48" spans="1:3" ht="11.25" customHeight="1" x14ac:dyDescent="0.3">
      <c r="A48" t="s">
        <v>2</v>
      </c>
      <c r="B48" s="1" t="s">
        <v>51</v>
      </c>
      <c r="C48" s="2">
        <v>121</v>
      </c>
    </row>
    <row r="49" spans="1:3" ht="11.25" customHeight="1" x14ac:dyDescent="0.3">
      <c r="A49" t="s">
        <v>2</v>
      </c>
      <c r="B49" s="1" t="s">
        <v>52</v>
      </c>
      <c r="C49" s="2">
        <v>11322313</v>
      </c>
    </row>
    <row r="50" spans="1:3" ht="11.25" customHeight="1" x14ac:dyDescent="0.3">
      <c r="A50" t="s">
        <v>2</v>
      </c>
      <c r="B50" s="1" t="s">
        <v>53</v>
      </c>
      <c r="C50" s="2">
        <v>111121</v>
      </c>
    </row>
    <row r="51" spans="1:3" ht="11.25" customHeight="1" x14ac:dyDescent="0.3">
      <c r="A51" t="s">
        <v>2</v>
      </c>
      <c r="B51" s="1" t="s">
        <v>54</v>
      </c>
      <c r="C51" s="2">
        <v>111122321</v>
      </c>
    </row>
    <row r="52" spans="1:3" ht="11.25" customHeight="1" x14ac:dyDescent="0.3">
      <c r="A52" t="s">
        <v>2</v>
      </c>
      <c r="B52" s="1" t="s">
        <v>55</v>
      </c>
      <c r="C52" s="2">
        <v>132</v>
      </c>
    </row>
    <row r="53" spans="1:3" ht="11.25" customHeight="1" x14ac:dyDescent="0.3">
      <c r="A53" t="s">
        <v>2</v>
      </c>
      <c r="B53" s="1" t="s">
        <v>56</v>
      </c>
      <c r="C53" s="2">
        <v>112</v>
      </c>
    </row>
    <row r="54" spans="1:3" ht="11.25" customHeight="1" x14ac:dyDescent="0.3">
      <c r="A54" t="s">
        <v>2</v>
      </c>
      <c r="B54" s="1" t="s">
        <v>57</v>
      </c>
      <c r="C54" s="2">
        <v>116</v>
      </c>
    </row>
    <row r="55" spans="1:3" ht="11.25" customHeight="1" x14ac:dyDescent="0.3">
      <c r="A55" t="s">
        <v>2</v>
      </c>
      <c r="B55" s="1" t="s">
        <v>58</v>
      </c>
      <c r="C55" s="2">
        <v>13231</v>
      </c>
    </row>
    <row r="56" spans="1:3" ht="11.25" customHeight="1" x14ac:dyDescent="0.3">
      <c r="A56" t="s">
        <v>2</v>
      </c>
      <c r="B56" s="1" t="s">
        <v>59</v>
      </c>
      <c r="C56" s="2">
        <v>11322321</v>
      </c>
    </row>
    <row r="57" spans="1:3" ht="11.25" customHeight="1" x14ac:dyDescent="0.3">
      <c r="A57" t="s">
        <v>2</v>
      </c>
      <c r="B57" s="1" t="s">
        <v>60</v>
      </c>
      <c r="C57" s="2">
        <v>11322325</v>
      </c>
    </row>
    <row r="58" spans="1:3" ht="11.25" customHeight="1" x14ac:dyDescent="0.3">
      <c r="A58" t="s">
        <v>2</v>
      </c>
      <c r="B58" s="1" t="s">
        <v>61</v>
      </c>
      <c r="C58" s="2">
        <v>1132232</v>
      </c>
    </row>
    <row r="59" spans="1:3" ht="11.25" customHeight="1" x14ac:dyDescent="0.3">
      <c r="A59" t="s">
        <v>2</v>
      </c>
      <c r="B59" s="1" t="s">
        <v>62</v>
      </c>
      <c r="C59" s="2">
        <v>1132231</v>
      </c>
    </row>
    <row r="60" spans="1:3" ht="11.25" customHeight="1" x14ac:dyDescent="0.3">
      <c r="A60" t="s">
        <v>2</v>
      </c>
      <c r="B60" s="1" t="s">
        <v>63</v>
      </c>
      <c r="C60" s="2">
        <v>113223</v>
      </c>
    </row>
    <row r="61" spans="1:3" ht="11.25" customHeight="1" x14ac:dyDescent="0.3">
      <c r="A61" t="s">
        <v>2</v>
      </c>
      <c r="B61" s="1" t="s">
        <v>64</v>
      </c>
      <c r="C61" s="2">
        <v>11322</v>
      </c>
    </row>
    <row r="62" spans="1:3" ht="11.25" customHeight="1" x14ac:dyDescent="0.3">
      <c r="A62" t="s">
        <v>2</v>
      </c>
      <c r="B62" s="1" t="s">
        <v>65</v>
      </c>
      <c r="C62" s="2">
        <v>1111111</v>
      </c>
    </row>
    <row r="63" spans="1:3" ht="11.25" customHeight="1" x14ac:dyDescent="0.3">
      <c r="A63" t="s">
        <v>2</v>
      </c>
      <c r="B63" s="1" t="s">
        <v>66</v>
      </c>
      <c r="C63" s="2">
        <v>111111</v>
      </c>
    </row>
    <row r="64" spans="1:3" ht="11.25" customHeight="1" x14ac:dyDescent="0.3">
      <c r="A64" t="s">
        <v>2</v>
      </c>
      <c r="B64" s="1" t="s">
        <v>67</v>
      </c>
      <c r="C64" s="2">
        <v>1132</v>
      </c>
    </row>
    <row r="65" spans="1:3" ht="11.25" customHeight="1" x14ac:dyDescent="0.3">
      <c r="A65" t="s">
        <v>2</v>
      </c>
      <c r="B65" s="1" t="s">
        <v>68</v>
      </c>
      <c r="C65" s="2">
        <v>1111</v>
      </c>
    </row>
    <row r="66" spans="1:3" ht="11.25" customHeight="1" x14ac:dyDescent="0.3">
      <c r="A66" t="s">
        <v>2</v>
      </c>
      <c r="B66" s="1" t="s">
        <v>69</v>
      </c>
      <c r="C66" s="2">
        <v>1111223</v>
      </c>
    </row>
    <row r="67" spans="1:3" ht="11.25" customHeight="1" x14ac:dyDescent="0.3">
      <c r="A67" t="s">
        <v>2</v>
      </c>
      <c r="B67" s="1" t="s">
        <v>70</v>
      </c>
      <c r="C67" s="2">
        <v>111122</v>
      </c>
    </row>
    <row r="68" spans="1:3" ht="11.25" customHeight="1" x14ac:dyDescent="0.3">
      <c r="A68" t="s">
        <v>2</v>
      </c>
      <c r="B68" s="1" t="s">
        <v>71</v>
      </c>
      <c r="C68" s="2">
        <v>11333</v>
      </c>
    </row>
    <row r="69" spans="1:3" ht="11.25" customHeight="1" x14ac:dyDescent="0.3">
      <c r="A69" t="s">
        <v>2</v>
      </c>
      <c r="B69" s="1" t="s">
        <v>72</v>
      </c>
      <c r="C69" s="2">
        <v>11112232</v>
      </c>
    </row>
    <row r="70" spans="1:3" ht="11.25" customHeight="1" x14ac:dyDescent="0.3">
      <c r="A70" t="s">
        <v>2</v>
      </c>
      <c r="B70" s="1" t="s">
        <v>73</v>
      </c>
      <c r="C70" s="2">
        <v>111122323</v>
      </c>
    </row>
    <row r="71" spans="1:3" ht="11.25" customHeight="1" x14ac:dyDescent="0.3">
      <c r="A71" t="s">
        <v>2</v>
      </c>
      <c r="B71" s="1" t="s">
        <v>74</v>
      </c>
      <c r="C71" s="2">
        <v>11113</v>
      </c>
    </row>
    <row r="72" spans="1:3" ht="11.25" customHeight="1" x14ac:dyDescent="0.3">
      <c r="A72" t="s">
        <v>2</v>
      </c>
      <c r="B72" s="1" t="s">
        <v>75</v>
      </c>
      <c r="C72" s="2">
        <v>11111</v>
      </c>
    </row>
    <row r="73" spans="1:3" ht="11.25" customHeight="1" x14ac:dyDescent="0.3">
      <c r="A73" t="s">
        <v>2</v>
      </c>
      <c r="B73" s="1" t="s">
        <v>76</v>
      </c>
      <c r="C73" s="2">
        <v>11322323</v>
      </c>
    </row>
    <row r="74" spans="1:3" ht="11.25" customHeight="1" x14ac:dyDescent="0.3">
      <c r="A74" t="s">
        <v>2</v>
      </c>
      <c r="B74" s="1" t="s">
        <v>77</v>
      </c>
      <c r="C74" s="2">
        <v>113223212</v>
      </c>
    </row>
    <row r="75" spans="1:3" ht="11.25" customHeight="1" x14ac:dyDescent="0.3">
      <c r="A75" t="s">
        <v>2</v>
      </c>
      <c r="B75" s="1" t="s">
        <v>78</v>
      </c>
      <c r="C75" s="2">
        <v>113223214</v>
      </c>
    </row>
    <row r="76" spans="1:3" ht="11.25" customHeight="1" x14ac:dyDescent="0.3">
      <c r="A76" t="s">
        <v>2</v>
      </c>
      <c r="B76" s="1" t="s">
        <v>79</v>
      </c>
      <c r="C76" s="2">
        <v>113223211</v>
      </c>
    </row>
    <row r="77" spans="1:3" ht="11.25" customHeight="1" x14ac:dyDescent="0.3">
      <c r="A77" t="s">
        <v>2</v>
      </c>
      <c r="B77" s="1" t="s">
        <v>80</v>
      </c>
      <c r="C77" s="2">
        <v>1111223211</v>
      </c>
    </row>
    <row r="78" spans="1:3" ht="11.25" customHeight="1" x14ac:dyDescent="0.3">
      <c r="A78" t="s">
        <v>2</v>
      </c>
      <c r="B78" s="1" t="s">
        <v>81</v>
      </c>
      <c r="C78" s="2">
        <v>1111223212</v>
      </c>
    </row>
    <row r="79" spans="1:3" ht="11.25" customHeight="1" x14ac:dyDescent="0.3">
      <c r="A79" t="s">
        <v>2</v>
      </c>
      <c r="B79" s="1" t="s">
        <v>82</v>
      </c>
      <c r="C79" s="2">
        <v>1111223213</v>
      </c>
    </row>
    <row r="80" spans="1:3" ht="11.25" customHeight="1" x14ac:dyDescent="0.3">
      <c r="A80" t="s">
        <v>2</v>
      </c>
      <c r="B80" s="1" t="s">
        <v>83</v>
      </c>
      <c r="C80" s="2">
        <v>1132232133</v>
      </c>
    </row>
    <row r="81" spans="1:3" ht="11.25" customHeight="1" x14ac:dyDescent="0.3">
      <c r="A81" t="s">
        <v>2</v>
      </c>
      <c r="B81" s="1" t="s">
        <v>84</v>
      </c>
      <c r="C81" s="2">
        <v>1111223233</v>
      </c>
    </row>
    <row r="82" spans="1:3" ht="11.25" customHeight="1" x14ac:dyDescent="0.3">
      <c r="A82" t="s">
        <v>2</v>
      </c>
      <c r="B82" s="1" t="s">
        <v>85</v>
      </c>
      <c r="C82" s="2">
        <v>1111211</v>
      </c>
    </row>
    <row r="83" spans="1:3" ht="11.25" customHeight="1" x14ac:dyDescent="0.3">
      <c r="A83" t="s">
        <v>2</v>
      </c>
      <c r="B83" s="1" t="s">
        <v>86</v>
      </c>
      <c r="C83" s="2">
        <v>1111221</v>
      </c>
    </row>
    <row r="84" spans="1:3" ht="11.25" customHeight="1" x14ac:dyDescent="0.3">
      <c r="A84" t="s">
        <v>2</v>
      </c>
      <c r="B84" s="1" t="s">
        <v>87</v>
      </c>
      <c r="C84" s="2">
        <v>1111222</v>
      </c>
    </row>
    <row r="85" spans="1:3" ht="11.25" customHeight="1" x14ac:dyDescent="0.3">
      <c r="A85" t="s">
        <v>2</v>
      </c>
      <c r="B85" s="1" t="s">
        <v>88</v>
      </c>
      <c r="C85" s="2">
        <v>11112233</v>
      </c>
    </row>
    <row r="86" spans="1:3" ht="11.25" customHeight="1" x14ac:dyDescent="0.3">
      <c r="A86" t="s">
        <v>2</v>
      </c>
      <c r="B86" s="1" t="s">
        <v>89</v>
      </c>
      <c r="C86" s="2">
        <v>111122325</v>
      </c>
    </row>
    <row r="87" spans="1:3" ht="11.25" customHeight="1" x14ac:dyDescent="0.3">
      <c r="A87" t="s">
        <v>2</v>
      </c>
      <c r="B87" s="1" t="s">
        <v>90</v>
      </c>
      <c r="C87" s="2">
        <v>111122322</v>
      </c>
    </row>
    <row r="88" spans="1:3" ht="11.25" customHeight="1" x14ac:dyDescent="0.3">
      <c r="A88" t="s">
        <v>2</v>
      </c>
      <c r="B88" s="1" t="s">
        <v>91</v>
      </c>
      <c r="C88" s="2">
        <v>111122324</v>
      </c>
    </row>
    <row r="89" spans="1:3" ht="11.25" customHeight="1" x14ac:dyDescent="0.3">
      <c r="A89" t="s">
        <v>2</v>
      </c>
      <c r="B89" s="1" t="s">
        <v>92</v>
      </c>
      <c r="C89" s="2">
        <v>11321</v>
      </c>
    </row>
    <row r="90" spans="1:3" ht="11.25" customHeight="1" x14ac:dyDescent="0.3">
      <c r="A90" t="s">
        <v>2</v>
      </c>
      <c r="B90" s="1" t="s">
        <v>93</v>
      </c>
      <c r="C90" s="2">
        <v>11132</v>
      </c>
    </row>
    <row r="91" spans="1:3" ht="11.25" customHeight="1" x14ac:dyDescent="0.3">
      <c r="A91" t="s">
        <v>2</v>
      </c>
      <c r="B91" s="1" t="s">
        <v>94</v>
      </c>
      <c r="C91" s="2">
        <v>11131</v>
      </c>
    </row>
    <row r="92" spans="1:3" ht="11.25" customHeight="1" x14ac:dyDescent="0.3">
      <c r="A92" t="s">
        <v>2</v>
      </c>
      <c r="B92" s="1" t="s">
        <v>95</v>
      </c>
      <c r="C92" s="2">
        <v>111113</v>
      </c>
    </row>
    <row r="93" spans="1:3" ht="11.25" customHeight="1" x14ac:dyDescent="0.3">
      <c r="A93" t="s">
        <v>2</v>
      </c>
      <c r="B93" s="1" t="s">
        <v>96</v>
      </c>
      <c r="C93" s="2">
        <v>1111113</v>
      </c>
    </row>
    <row r="94" spans="1:3" ht="11.25" customHeight="1" x14ac:dyDescent="0.3">
      <c r="A94" t="s">
        <v>2</v>
      </c>
      <c r="B94" s="1" t="s">
        <v>97</v>
      </c>
      <c r="C94" s="2">
        <v>111112</v>
      </c>
    </row>
    <row r="95" spans="1:3" ht="11.25" customHeight="1" x14ac:dyDescent="0.3">
      <c r="A95" t="s">
        <v>2</v>
      </c>
      <c r="B95" s="1" t="s">
        <v>98</v>
      </c>
      <c r="C95" s="2">
        <v>1111112</v>
      </c>
    </row>
    <row r="96" spans="1:3" ht="11.25" customHeight="1" x14ac:dyDescent="0.3">
      <c r="A96" t="s">
        <v>2</v>
      </c>
      <c r="B96" s="1" t="s">
        <v>99</v>
      </c>
      <c r="C96" s="2">
        <v>11111111</v>
      </c>
    </row>
    <row r="97" spans="1:3" ht="11.25" customHeight="1" x14ac:dyDescent="0.3">
      <c r="A97" t="s">
        <v>2</v>
      </c>
      <c r="B97" s="1" t="s">
        <v>100</v>
      </c>
      <c r="C97" s="2">
        <v>11111112</v>
      </c>
    </row>
    <row r="98" spans="1:3" ht="11.25" customHeight="1" x14ac:dyDescent="0.3">
      <c r="A98" t="s">
        <v>2</v>
      </c>
      <c r="B98" s="1" t="s">
        <v>101</v>
      </c>
      <c r="C98" s="2">
        <v>111132</v>
      </c>
    </row>
    <row r="99" spans="1:3" ht="11.25" customHeight="1" x14ac:dyDescent="0.3">
      <c r="A99" t="s">
        <v>2</v>
      </c>
      <c r="B99" s="1" t="s">
        <v>102</v>
      </c>
      <c r="C99" s="2">
        <v>1132232132</v>
      </c>
    </row>
    <row r="100" spans="1:3" ht="11.25" customHeight="1" x14ac:dyDescent="0.3">
      <c r="A100" t="s">
        <v>2</v>
      </c>
      <c r="B100" s="1" t="s">
        <v>103</v>
      </c>
      <c r="C100" s="2">
        <v>11322321313</v>
      </c>
    </row>
    <row r="101" spans="1:3" ht="11.25" customHeight="1" x14ac:dyDescent="0.3">
      <c r="A101" t="s">
        <v>2</v>
      </c>
      <c r="B101" s="1" t="s">
        <v>104</v>
      </c>
      <c r="C101" s="2">
        <v>11322321311</v>
      </c>
    </row>
    <row r="102" spans="1:3" ht="11.25" customHeight="1" x14ac:dyDescent="0.3">
      <c r="A102" t="s">
        <v>2</v>
      </c>
      <c r="B102" s="1" t="s">
        <v>105</v>
      </c>
      <c r="C102" s="2">
        <v>1111213</v>
      </c>
    </row>
    <row r="103" spans="1:3" ht="11.25" customHeight="1" x14ac:dyDescent="0.3">
      <c r="A103" t="s">
        <v>2</v>
      </c>
      <c r="B103" s="1" t="s">
        <v>106</v>
      </c>
      <c r="C103" s="2">
        <v>1132232132</v>
      </c>
    </row>
    <row r="104" spans="1:3" ht="11.25" customHeight="1" x14ac:dyDescent="0.3">
      <c r="A104" t="s">
        <v>2</v>
      </c>
      <c r="B104" s="1" t="s">
        <v>107</v>
      </c>
      <c r="C104" s="2">
        <v>1111212</v>
      </c>
    </row>
    <row r="105" spans="1:3" ht="11.25" customHeight="1" x14ac:dyDescent="0.3">
      <c r="A105" t="s">
        <v>2</v>
      </c>
      <c r="B105" s="1" t="s">
        <v>108</v>
      </c>
      <c r="C105" s="2">
        <v>111133</v>
      </c>
    </row>
    <row r="106" spans="1:3" ht="11.25" customHeight="1" x14ac:dyDescent="0.3">
      <c r="A106" t="s">
        <v>2</v>
      </c>
      <c r="B106" s="1" t="s">
        <v>109</v>
      </c>
      <c r="C106" s="2">
        <v>11331</v>
      </c>
    </row>
    <row r="107" spans="1:3" ht="10.5" customHeight="1" x14ac:dyDescent="0.3">
      <c r="A107" t="s">
        <v>2</v>
      </c>
      <c r="B107" s="1" t="s">
        <v>110</v>
      </c>
      <c r="C107" s="2">
        <v>113333</v>
      </c>
    </row>
    <row r="108" spans="1:3" ht="11.25" customHeight="1" x14ac:dyDescent="0.3">
      <c r="A108" t="s">
        <v>2</v>
      </c>
      <c r="B108" s="1" t="s">
        <v>111</v>
      </c>
      <c r="C108" s="2">
        <v>111131</v>
      </c>
    </row>
    <row r="109" spans="1:3" ht="11.25" customHeight="1" x14ac:dyDescent="0.3">
      <c r="A109" t="s">
        <v>2</v>
      </c>
      <c r="B109" s="1" t="s">
        <v>112</v>
      </c>
      <c r="C109" s="2">
        <v>11332</v>
      </c>
    </row>
    <row r="110" spans="1:3" ht="11.25" customHeight="1" x14ac:dyDescent="0.3">
      <c r="A110" t="s">
        <v>2</v>
      </c>
      <c r="B110" s="1" t="s">
        <v>113</v>
      </c>
      <c r="C110" s="2">
        <v>132313</v>
      </c>
    </row>
    <row r="111" spans="1:3" ht="11.25" customHeight="1" x14ac:dyDescent="0.3">
      <c r="A111" t="s">
        <v>2</v>
      </c>
      <c r="B111" s="1" t="s">
        <v>114</v>
      </c>
      <c r="C111" s="2">
        <v>2233123</v>
      </c>
    </row>
    <row r="112" spans="1:3" ht="11.25" customHeight="1" x14ac:dyDescent="0.3">
      <c r="A112" t="s">
        <v>2</v>
      </c>
      <c r="B112" s="1" t="s">
        <v>115</v>
      </c>
      <c r="C112" s="2">
        <v>22332313</v>
      </c>
    </row>
    <row r="113" spans="1:3" ht="11.25" customHeight="1" x14ac:dyDescent="0.3">
      <c r="A113" t="s">
        <v>2</v>
      </c>
      <c r="B113" s="1" t="s">
        <v>116</v>
      </c>
      <c r="C113" s="2">
        <v>22332314</v>
      </c>
    </row>
    <row r="114" spans="1:3" ht="11.25" customHeight="1" x14ac:dyDescent="0.3">
      <c r="A114" t="s">
        <v>2</v>
      </c>
      <c r="B114" s="1" t="s">
        <v>117</v>
      </c>
      <c r="C114" s="2">
        <v>2233122</v>
      </c>
    </row>
    <row r="115" spans="1:3" ht="11.25" customHeight="1" x14ac:dyDescent="0.3">
      <c r="A115" t="s">
        <v>2</v>
      </c>
      <c r="B115" s="1" t="s">
        <v>118</v>
      </c>
      <c r="C115" s="2">
        <v>22331133554</v>
      </c>
    </row>
    <row r="116" spans="1:3" ht="11.25" customHeight="1" x14ac:dyDescent="0.3">
      <c r="A116" t="s">
        <v>2</v>
      </c>
      <c r="B116" s="1" t="s">
        <v>119</v>
      </c>
      <c r="C116" s="2">
        <v>22331133553</v>
      </c>
    </row>
    <row r="117" spans="1:3" ht="11.25" customHeight="1" x14ac:dyDescent="0.3">
      <c r="A117" t="s">
        <v>2</v>
      </c>
      <c r="B117" s="1" t="s">
        <v>120</v>
      </c>
      <c r="C117" s="2">
        <v>22331133552</v>
      </c>
    </row>
    <row r="118" spans="1:3" ht="11.25" customHeight="1" x14ac:dyDescent="0.3">
      <c r="A118" t="s">
        <v>2</v>
      </c>
      <c r="B118" s="1" t="s">
        <v>121</v>
      </c>
      <c r="C118" s="2">
        <v>22331133551</v>
      </c>
    </row>
    <row r="119" spans="1:3" ht="11.25" customHeight="1" x14ac:dyDescent="0.3">
      <c r="A119" t="s">
        <v>2</v>
      </c>
      <c r="B119" s="1" t="s">
        <v>122</v>
      </c>
      <c r="C119" s="2">
        <v>21631</v>
      </c>
    </row>
    <row r="120" spans="1:3" ht="11.25" customHeight="1" x14ac:dyDescent="0.3">
      <c r="A120" t="s">
        <v>2</v>
      </c>
      <c r="B120" s="1" t="s">
        <v>123</v>
      </c>
      <c r="C120" s="9">
        <v>21632</v>
      </c>
    </row>
    <row r="121" spans="1:3" ht="11.25" customHeight="1" x14ac:dyDescent="0.3">
      <c r="A121" t="s">
        <v>2</v>
      </c>
      <c r="B121" s="1" t="s">
        <v>124</v>
      </c>
      <c r="C121" s="2">
        <v>214212215</v>
      </c>
    </row>
    <row r="122" spans="1:3" ht="11.25" customHeight="1" x14ac:dyDescent="0.3">
      <c r="A122" t="s">
        <v>2</v>
      </c>
      <c r="B122" s="1" t="s">
        <v>125</v>
      </c>
      <c r="C122" s="2">
        <v>21623</v>
      </c>
    </row>
    <row r="123" spans="1:3" ht="11.25" customHeight="1" x14ac:dyDescent="0.3">
      <c r="A123" t="s">
        <v>2</v>
      </c>
      <c r="B123" s="1" t="s">
        <v>126</v>
      </c>
      <c r="C123" s="2">
        <v>216212</v>
      </c>
    </row>
    <row r="124" spans="1:3" ht="11.25" customHeight="1" x14ac:dyDescent="0.3">
      <c r="A124" t="s">
        <v>2</v>
      </c>
      <c r="B124" s="1" t="s">
        <v>127</v>
      </c>
      <c r="C124" s="2">
        <v>22321</v>
      </c>
    </row>
    <row r="125" spans="1:3" ht="11.25" customHeight="1" x14ac:dyDescent="0.3">
      <c r="A125" t="s">
        <v>2</v>
      </c>
      <c r="B125" s="1" t="s">
        <v>128</v>
      </c>
      <c r="C125" s="2">
        <v>216213</v>
      </c>
    </row>
    <row r="126" spans="1:3" ht="11.25" customHeight="1" x14ac:dyDescent="0.3">
      <c r="A126" t="s">
        <v>2</v>
      </c>
      <c r="B126" s="1" t="s">
        <v>129</v>
      </c>
      <c r="C126" s="2">
        <v>2142126</v>
      </c>
    </row>
    <row r="127" spans="1:3" ht="11.25" customHeight="1" x14ac:dyDescent="0.3">
      <c r="A127" t="s">
        <v>2</v>
      </c>
      <c r="B127" s="1" t="s">
        <v>130</v>
      </c>
      <c r="C127" s="2">
        <v>22331133512</v>
      </c>
    </row>
    <row r="128" spans="1:3" ht="11.25" customHeight="1" x14ac:dyDescent="0.3">
      <c r="A128" t="s">
        <v>2</v>
      </c>
      <c r="B128" s="1" t="s">
        <v>131</v>
      </c>
      <c r="C128" s="2">
        <v>21421232</v>
      </c>
    </row>
    <row r="129" spans="1:3" ht="11.25" customHeight="1" x14ac:dyDescent="0.3">
      <c r="A129" t="s">
        <v>2</v>
      </c>
      <c r="B129" s="1" t="s">
        <v>132</v>
      </c>
      <c r="C129" s="2">
        <v>22332311</v>
      </c>
    </row>
    <row r="130" spans="1:3" ht="11.25" customHeight="1" x14ac:dyDescent="0.3">
      <c r="A130" t="s">
        <v>2</v>
      </c>
      <c r="B130" s="1" t="s">
        <v>133</v>
      </c>
      <c r="C130" s="2">
        <v>21633</v>
      </c>
    </row>
    <row r="131" spans="1:3" ht="11.25" customHeight="1" x14ac:dyDescent="0.3">
      <c r="A131" t="s">
        <v>2</v>
      </c>
      <c r="B131" s="1" t="s">
        <v>134</v>
      </c>
      <c r="C131" s="2">
        <v>22332322</v>
      </c>
    </row>
    <row r="132" spans="1:3" ht="11.25" customHeight="1" x14ac:dyDescent="0.3">
      <c r="A132" t="s">
        <v>2</v>
      </c>
      <c r="B132" s="1" t="s">
        <v>135</v>
      </c>
      <c r="C132" s="2">
        <v>2412</v>
      </c>
    </row>
    <row r="133" spans="1:3" ht="11.25" customHeight="1" x14ac:dyDescent="0.3">
      <c r="A133" t="s">
        <v>2</v>
      </c>
      <c r="B133" s="1" t="s">
        <v>136</v>
      </c>
      <c r="C133" s="2">
        <v>21421131</v>
      </c>
    </row>
    <row r="134" spans="1:3" ht="11.25" customHeight="1" x14ac:dyDescent="0.3">
      <c r="A134" t="s">
        <v>2</v>
      </c>
      <c r="B134" s="1" t="s">
        <v>137</v>
      </c>
      <c r="C134" s="2">
        <v>2413</v>
      </c>
    </row>
    <row r="135" spans="1:3" ht="11.25" customHeight="1" x14ac:dyDescent="0.3">
      <c r="A135" t="s">
        <v>2</v>
      </c>
      <c r="B135" s="1" t="s">
        <v>138</v>
      </c>
      <c r="C135" s="2">
        <v>2111213</v>
      </c>
    </row>
    <row r="136" spans="1:3" ht="11.25" customHeight="1" x14ac:dyDescent="0.3">
      <c r="A136" t="s">
        <v>2</v>
      </c>
      <c r="B136" s="1" t="s">
        <v>139</v>
      </c>
      <c r="C136" s="2">
        <v>21421132</v>
      </c>
    </row>
    <row r="137" spans="1:3" ht="11.25" customHeight="1" x14ac:dyDescent="0.3">
      <c r="A137" t="s">
        <v>2</v>
      </c>
      <c r="B137" s="1" t="s">
        <v>140</v>
      </c>
      <c r="C137" s="2">
        <v>21421212</v>
      </c>
    </row>
    <row r="138" spans="1:3" ht="11.25" customHeight="1" x14ac:dyDescent="0.3">
      <c r="A138" t="s">
        <v>2</v>
      </c>
      <c r="B138" s="1" t="s">
        <v>141</v>
      </c>
      <c r="C138" s="2">
        <v>21421233</v>
      </c>
    </row>
    <row r="139" spans="1:3" ht="11.25" customHeight="1" x14ac:dyDescent="0.3">
      <c r="A139" t="s">
        <v>2</v>
      </c>
      <c r="B139" s="1" t="s">
        <v>142</v>
      </c>
      <c r="C139" s="2">
        <v>21421222</v>
      </c>
    </row>
    <row r="140" spans="1:3" ht="11.25" customHeight="1" x14ac:dyDescent="0.3">
      <c r="A140" t="s">
        <v>2</v>
      </c>
      <c r="B140" s="1" t="s">
        <v>143</v>
      </c>
      <c r="C140" s="2">
        <v>2142125</v>
      </c>
    </row>
    <row r="141" spans="1:3" ht="11.25" customHeight="1" x14ac:dyDescent="0.3">
      <c r="A141" t="s">
        <v>2</v>
      </c>
      <c r="B141" s="1" t="s">
        <v>144</v>
      </c>
      <c r="C141" s="2">
        <v>21421243</v>
      </c>
    </row>
    <row r="142" spans="1:3" ht="11.25" customHeight="1" x14ac:dyDescent="0.3">
      <c r="A142" t="s">
        <v>2</v>
      </c>
      <c r="B142" s="1" t="s">
        <v>145</v>
      </c>
      <c r="C142" s="2">
        <v>21421242</v>
      </c>
    </row>
    <row r="143" spans="1:3" ht="11.25" customHeight="1" x14ac:dyDescent="0.3">
      <c r="A143" t="s">
        <v>2</v>
      </c>
      <c r="B143" s="1" t="s">
        <v>146</v>
      </c>
      <c r="C143" s="2">
        <v>21421211</v>
      </c>
    </row>
    <row r="144" spans="1:3" ht="11.25" customHeight="1" x14ac:dyDescent="0.3">
      <c r="A144" t="s">
        <v>2</v>
      </c>
      <c r="B144" s="1" t="s">
        <v>147</v>
      </c>
      <c r="C144" s="2">
        <v>21421223</v>
      </c>
    </row>
    <row r="145" spans="1:3" ht="11.25" customHeight="1" x14ac:dyDescent="0.3">
      <c r="A145" t="s">
        <v>2</v>
      </c>
      <c r="B145" s="1" t="s">
        <v>148</v>
      </c>
      <c r="C145" s="2">
        <v>21421231</v>
      </c>
    </row>
    <row r="146" spans="1:3" ht="11.25" customHeight="1" x14ac:dyDescent="0.3">
      <c r="A146" t="s">
        <v>2</v>
      </c>
      <c r="B146" s="1" t="s">
        <v>149</v>
      </c>
      <c r="C146" s="2">
        <v>22331133</v>
      </c>
    </row>
    <row r="147" spans="1:3" ht="11.25" customHeight="1" x14ac:dyDescent="0.3">
      <c r="A147" t="s">
        <v>2</v>
      </c>
      <c r="B147" s="1" t="s">
        <v>150</v>
      </c>
      <c r="C147" s="2">
        <v>223323212</v>
      </c>
    </row>
    <row r="148" spans="1:3" ht="11.25" customHeight="1" x14ac:dyDescent="0.3">
      <c r="A148" t="s">
        <v>2</v>
      </c>
      <c r="B148" s="1" t="s">
        <v>151</v>
      </c>
      <c r="C148" s="2">
        <v>2233131121</v>
      </c>
    </row>
    <row r="149" spans="1:3" ht="11.25" customHeight="1" x14ac:dyDescent="0.3">
      <c r="A149" t="s">
        <v>2</v>
      </c>
      <c r="B149" s="1" t="s">
        <v>152</v>
      </c>
      <c r="C149" s="2">
        <v>22332333</v>
      </c>
    </row>
    <row r="150" spans="1:3" ht="11.25" customHeight="1" x14ac:dyDescent="0.3">
      <c r="A150" t="s">
        <v>2</v>
      </c>
      <c r="B150" s="1" t="s">
        <v>153</v>
      </c>
      <c r="C150" s="2">
        <v>22331133511</v>
      </c>
    </row>
    <row r="151" spans="1:3" ht="11.25" customHeight="1" x14ac:dyDescent="0.3">
      <c r="A151" t="s">
        <v>2</v>
      </c>
      <c r="B151" s="1" t="s">
        <v>154</v>
      </c>
      <c r="C151" s="2">
        <v>223311332</v>
      </c>
    </row>
    <row r="152" spans="1:3" ht="11.25" customHeight="1" x14ac:dyDescent="0.3">
      <c r="A152" t="s">
        <v>2</v>
      </c>
      <c r="B152" s="1" t="s">
        <v>155</v>
      </c>
      <c r="C152" s="2">
        <v>223311335131</v>
      </c>
    </row>
    <row r="153" spans="1:3" ht="11.25" customHeight="1" x14ac:dyDescent="0.3">
      <c r="A153" t="s">
        <v>2</v>
      </c>
      <c r="B153" s="1" t="s">
        <v>156</v>
      </c>
      <c r="C153" s="2">
        <v>223311335132</v>
      </c>
    </row>
    <row r="154" spans="1:3" ht="11.25" customHeight="1" x14ac:dyDescent="0.3">
      <c r="A154" t="s">
        <v>2</v>
      </c>
      <c r="B154" s="1" t="s">
        <v>157</v>
      </c>
      <c r="C154" s="2">
        <v>2233115</v>
      </c>
    </row>
    <row r="155" spans="1:3" ht="11.25" customHeight="1" x14ac:dyDescent="0.3">
      <c r="A155" t="s">
        <v>2</v>
      </c>
      <c r="B155" s="1" t="s">
        <v>158</v>
      </c>
      <c r="C155" s="2">
        <v>21421121</v>
      </c>
    </row>
    <row r="156" spans="1:3" ht="11.25" customHeight="1" x14ac:dyDescent="0.3">
      <c r="A156" t="s">
        <v>2</v>
      </c>
      <c r="B156" s="1" t="s">
        <v>159</v>
      </c>
      <c r="C156" s="2">
        <v>21421123</v>
      </c>
    </row>
    <row r="157" spans="1:3" ht="11.25" customHeight="1" x14ac:dyDescent="0.3">
      <c r="A157" t="s">
        <v>2</v>
      </c>
      <c r="B157" s="1" t="s">
        <v>160</v>
      </c>
      <c r="C157" s="2">
        <v>22332323</v>
      </c>
    </row>
    <row r="158" spans="1:3" ht="11.25" customHeight="1" x14ac:dyDescent="0.3">
      <c r="A158" t="s">
        <v>2</v>
      </c>
      <c r="B158" s="1" t="s">
        <v>161</v>
      </c>
      <c r="C158" s="2">
        <v>21421122</v>
      </c>
    </row>
    <row r="159" spans="1:3" ht="11.25" customHeight="1" x14ac:dyDescent="0.3">
      <c r="A159" t="s">
        <v>2</v>
      </c>
      <c r="B159" s="1" t="s">
        <v>162</v>
      </c>
      <c r="C159" s="2">
        <v>2233116</v>
      </c>
    </row>
    <row r="160" spans="1:3" ht="11.25" customHeight="1" x14ac:dyDescent="0.3">
      <c r="A160" t="s">
        <v>2</v>
      </c>
      <c r="B160" s="1" t="s">
        <v>163</v>
      </c>
      <c r="C160" s="2">
        <v>223321</v>
      </c>
    </row>
    <row r="161" spans="1:3" ht="11.25" customHeight="1" x14ac:dyDescent="0.3">
      <c r="A161" t="s">
        <v>2</v>
      </c>
      <c r="B161" s="1" t="s">
        <v>164</v>
      </c>
      <c r="C161" s="2">
        <v>21421133</v>
      </c>
    </row>
    <row r="162" spans="1:3" ht="11.25" customHeight="1" x14ac:dyDescent="0.3">
      <c r="A162" t="s">
        <v>2</v>
      </c>
      <c r="B162" s="1" t="s">
        <v>165</v>
      </c>
      <c r="C162" s="2">
        <v>21421241</v>
      </c>
    </row>
    <row r="163" spans="1:3" ht="11.25" customHeight="1" x14ac:dyDescent="0.3">
      <c r="A163" t="s">
        <v>2</v>
      </c>
      <c r="B163" s="1" t="s">
        <v>166</v>
      </c>
      <c r="C163" s="2">
        <v>21422</v>
      </c>
    </row>
    <row r="164" spans="1:3" ht="11.25" customHeight="1" x14ac:dyDescent="0.3">
      <c r="A164" t="s">
        <v>2</v>
      </c>
      <c r="B164" s="1" t="s">
        <v>167</v>
      </c>
      <c r="C164" s="2">
        <v>214223</v>
      </c>
    </row>
    <row r="165" spans="1:3" ht="11.25" customHeight="1" x14ac:dyDescent="0.3">
      <c r="A165" t="s">
        <v>2</v>
      </c>
      <c r="B165" s="1" t="s">
        <v>168</v>
      </c>
      <c r="C165" s="2">
        <v>244</v>
      </c>
    </row>
    <row r="166" spans="1:3" ht="11.25" customHeight="1" x14ac:dyDescent="0.3">
      <c r="A166" t="s">
        <v>2</v>
      </c>
      <c r="B166" s="1" t="s">
        <v>169</v>
      </c>
      <c r="C166" s="2">
        <v>245</v>
      </c>
    </row>
    <row r="167" spans="1:3" ht="11.25" customHeight="1" x14ac:dyDescent="0.3">
      <c r="A167" t="s">
        <v>2</v>
      </c>
      <c r="B167" s="1" t="s">
        <v>170</v>
      </c>
      <c r="C167" s="2">
        <v>2433</v>
      </c>
    </row>
    <row r="168" spans="1:3" ht="11.25" customHeight="1" x14ac:dyDescent="0.3">
      <c r="A168" t="s">
        <v>2</v>
      </c>
      <c r="B168" s="1" t="s">
        <v>171</v>
      </c>
      <c r="C168" s="2">
        <v>2432</v>
      </c>
    </row>
    <row r="169" spans="1:3" ht="11.25" customHeight="1" x14ac:dyDescent="0.3">
      <c r="A169" t="s">
        <v>2</v>
      </c>
      <c r="B169" s="1" t="s">
        <v>172</v>
      </c>
      <c r="C169" s="2">
        <v>21421113</v>
      </c>
    </row>
    <row r="170" spans="1:3" ht="11.25" customHeight="1" x14ac:dyDescent="0.3">
      <c r="A170" t="s">
        <v>2</v>
      </c>
      <c r="B170" s="1" t="s">
        <v>173</v>
      </c>
      <c r="C170" s="9">
        <v>21421112</v>
      </c>
    </row>
    <row r="171" spans="1:3" ht="11.25" customHeight="1" x14ac:dyDescent="0.3">
      <c r="A171" t="s">
        <v>2</v>
      </c>
      <c r="B171" s="1" t="s">
        <v>174</v>
      </c>
      <c r="C171" s="2">
        <v>216214</v>
      </c>
    </row>
    <row r="172" spans="1:3" ht="11.25" customHeight="1" x14ac:dyDescent="0.3">
      <c r="A172" t="s">
        <v>2</v>
      </c>
      <c r="B172" s="1" t="s">
        <v>175</v>
      </c>
      <c r="C172" s="2">
        <v>21421111</v>
      </c>
    </row>
    <row r="173" spans="1:3" ht="11.25" customHeight="1" x14ac:dyDescent="0.3">
      <c r="A173" t="s">
        <v>2</v>
      </c>
      <c r="B173" s="1" t="s">
        <v>176</v>
      </c>
      <c r="C173" s="2">
        <v>21421213</v>
      </c>
    </row>
    <row r="174" spans="1:3" ht="11.25" customHeight="1" x14ac:dyDescent="0.3">
      <c r="A174" t="s">
        <v>2</v>
      </c>
      <c r="B174" s="1" t="s">
        <v>177</v>
      </c>
      <c r="C174" s="2">
        <v>2431</v>
      </c>
    </row>
    <row r="175" spans="1:3" ht="11.25" customHeight="1" x14ac:dyDescent="0.3">
      <c r="A175" t="s">
        <v>2</v>
      </c>
      <c r="B175" s="1" t="s">
        <v>178</v>
      </c>
      <c r="C175" s="2">
        <v>223323211</v>
      </c>
    </row>
    <row r="176" spans="1:3" ht="11.25" customHeight="1" x14ac:dyDescent="0.3">
      <c r="A176" t="s">
        <v>2</v>
      </c>
      <c r="B176" s="1" t="s">
        <v>179</v>
      </c>
      <c r="C176" s="2">
        <v>2141</v>
      </c>
    </row>
    <row r="177" spans="1:3" ht="11.25" customHeight="1" x14ac:dyDescent="0.3">
      <c r="A177" t="s">
        <v>2</v>
      </c>
      <c r="B177" s="1" t="s">
        <v>180</v>
      </c>
      <c r="C177" s="2">
        <v>223311335133</v>
      </c>
    </row>
    <row r="178" spans="1:3" ht="11.25" customHeight="1" x14ac:dyDescent="0.3">
      <c r="A178" t="s">
        <v>2</v>
      </c>
      <c r="B178" s="1" t="s">
        <v>181</v>
      </c>
      <c r="C178" s="2">
        <v>22332312</v>
      </c>
    </row>
    <row r="179" spans="1:3" ht="11.25" customHeight="1" x14ac:dyDescent="0.3">
      <c r="A179" t="s">
        <v>2</v>
      </c>
      <c r="B179" s="1" t="s">
        <v>182</v>
      </c>
      <c r="C179" s="2">
        <v>2162421441</v>
      </c>
    </row>
    <row r="180" spans="1:3" ht="11.25" customHeight="1" x14ac:dyDescent="0.3">
      <c r="A180" t="s">
        <v>2</v>
      </c>
      <c r="B180" s="1" t="s">
        <v>183</v>
      </c>
      <c r="C180" s="2">
        <v>21624211</v>
      </c>
    </row>
    <row r="181" spans="1:3" ht="11.25" customHeight="1" x14ac:dyDescent="0.3">
      <c r="A181" t="s">
        <v>2</v>
      </c>
      <c r="B181" s="1" t="s">
        <v>184</v>
      </c>
      <c r="C181" s="2">
        <v>216244</v>
      </c>
    </row>
    <row r="182" spans="1:3" ht="11.25" customHeight="1" x14ac:dyDescent="0.3">
      <c r="A182" t="s">
        <v>2</v>
      </c>
      <c r="B182" s="1" t="s">
        <v>185</v>
      </c>
      <c r="C182" s="2">
        <v>2233113</v>
      </c>
    </row>
    <row r="183" spans="1:3" ht="11.25" customHeight="1" x14ac:dyDescent="0.3">
      <c r="A183" t="s">
        <v>2</v>
      </c>
      <c r="B183" s="1" t="s">
        <v>186</v>
      </c>
      <c r="C183" s="2">
        <v>22331132</v>
      </c>
    </row>
    <row r="184" spans="1:3" ht="11.25" customHeight="1" x14ac:dyDescent="0.3">
      <c r="A184" t="s">
        <v>2</v>
      </c>
      <c r="B184" s="1" t="s">
        <v>187</v>
      </c>
      <c r="C184" s="2">
        <v>2132</v>
      </c>
    </row>
    <row r="185" spans="1:3" ht="11.25" customHeight="1" x14ac:dyDescent="0.3">
      <c r="A185" t="s">
        <v>2</v>
      </c>
      <c r="B185" s="1" t="s">
        <v>188</v>
      </c>
      <c r="C185" s="2">
        <v>22331312</v>
      </c>
    </row>
    <row r="186" spans="1:3" ht="11.25" customHeight="1" x14ac:dyDescent="0.3">
      <c r="A186" t="s">
        <v>2</v>
      </c>
      <c r="B186" s="1" t="s">
        <v>189</v>
      </c>
      <c r="C186" s="2">
        <v>2233131</v>
      </c>
    </row>
    <row r="187" spans="1:3" ht="11.25" customHeight="1" x14ac:dyDescent="0.3">
      <c r="A187" t="s">
        <v>2</v>
      </c>
      <c r="B187" s="1" t="s">
        <v>190</v>
      </c>
      <c r="C187" s="2">
        <v>22331153</v>
      </c>
    </row>
    <row r="188" spans="1:3" ht="12" customHeight="1" x14ac:dyDescent="0.3">
      <c r="A188" t="s">
        <v>2</v>
      </c>
      <c r="B188" s="1" t="s">
        <v>191</v>
      </c>
      <c r="C188" s="2">
        <v>2142111</v>
      </c>
    </row>
    <row r="189" spans="1:3" ht="12" customHeight="1" x14ac:dyDescent="0.3">
      <c r="A189" t="s">
        <v>2</v>
      </c>
      <c r="B189" s="1" t="s">
        <v>192</v>
      </c>
      <c r="C189" s="2">
        <v>214212</v>
      </c>
    </row>
    <row r="190" spans="1:3" ht="12" customHeight="1" x14ac:dyDescent="0.3">
      <c r="A190" t="s">
        <v>2</v>
      </c>
      <c r="B190" s="1" t="s">
        <v>193</v>
      </c>
      <c r="C190" s="10">
        <v>21421</v>
      </c>
    </row>
    <row r="191" spans="1:3" ht="12" customHeight="1" x14ac:dyDescent="0.3">
      <c r="A191" t="s">
        <v>2</v>
      </c>
      <c r="B191" s="1" t="s">
        <v>194</v>
      </c>
      <c r="C191" s="11">
        <v>21423</v>
      </c>
    </row>
    <row r="192" spans="1:3" ht="12" customHeight="1" x14ac:dyDescent="0.3">
      <c r="A192" t="s">
        <v>2</v>
      </c>
      <c r="B192" s="1" t="s">
        <v>195</v>
      </c>
      <c r="C192" s="11">
        <v>214211</v>
      </c>
    </row>
    <row r="193" spans="1:3" ht="12" customHeight="1" x14ac:dyDescent="0.3">
      <c r="A193" t="s">
        <v>2</v>
      </c>
      <c r="B193" s="1" t="s">
        <v>196</v>
      </c>
      <c r="C193" s="11">
        <v>2142113</v>
      </c>
    </row>
    <row r="194" spans="1:3" ht="12" customHeight="1" x14ac:dyDescent="0.3">
      <c r="A194" t="s">
        <v>2</v>
      </c>
      <c r="B194" s="1" t="s">
        <v>197</v>
      </c>
      <c r="C194" s="10">
        <v>223223</v>
      </c>
    </row>
    <row r="195" spans="1:3" ht="12" customHeight="1" x14ac:dyDescent="0.3">
      <c r="A195" t="s">
        <v>2</v>
      </c>
      <c r="B195" s="1" t="s">
        <v>198</v>
      </c>
      <c r="C195" s="2">
        <v>2233113354</v>
      </c>
    </row>
    <row r="196" spans="1:3" ht="12" customHeight="1" x14ac:dyDescent="0.3">
      <c r="A196" t="s">
        <v>2</v>
      </c>
      <c r="B196" s="1" t="s">
        <v>199</v>
      </c>
      <c r="C196" s="2">
        <v>223311322</v>
      </c>
    </row>
    <row r="197" spans="1:3" ht="12" customHeight="1" x14ac:dyDescent="0.3">
      <c r="A197" t="s">
        <v>2</v>
      </c>
      <c r="B197" s="1" t="s">
        <v>200</v>
      </c>
      <c r="C197" s="2">
        <v>223311323</v>
      </c>
    </row>
    <row r="198" spans="1:3" ht="12" customHeight="1" x14ac:dyDescent="0.3">
      <c r="A198" t="s">
        <v>2</v>
      </c>
      <c r="B198" s="1" t="s">
        <v>201</v>
      </c>
      <c r="C198" s="2">
        <v>22332321</v>
      </c>
    </row>
    <row r="199" spans="1:3" ht="12" customHeight="1" x14ac:dyDescent="0.3">
      <c r="A199" t="s">
        <v>2</v>
      </c>
      <c r="B199" s="1" t="s">
        <v>202</v>
      </c>
      <c r="C199" s="2">
        <v>216</v>
      </c>
    </row>
    <row r="200" spans="1:3" ht="12" customHeight="1" x14ac:dyDescent="0.3">
      <c r="A200" t="s">
        <v>2</v>
      </c>
      <c r="B200" s="1" t="s">
        <v>203</v>
      </c>
      <c r="C200" s="2">
        <v>215</v>
      </c>
    </row>
    <row r="201" spans="1:3" ht="12" customHeight="1" x14ac:dyDescent="0.3">
      <c r="A201" t="s">
        <v>2</v>
      </c>
      <c r="B201" s="1" t="s">
        <v>204</v>
      </c>
      <c r="C201" s="2">
        <v>213</v>
      </c>
    </row>
    <row r="202" spans="1:3" ht="12" customHeight="1" x14ac:dyDescent="0.3">
      <c r="A202" t="s">
        <v>2</v>
      </c>
      <c r="B202" s="1" t="s">
        <v>205</v>
      </c>
      <c r="C202" s="2">
        <v>22332</v>
      </c>
    </row>
    <row r="203" spans="1:3" ht="12" customHeight="1" x14ac:dyDescent="0.3">
      <c r="A203" t="s">
        <v>2</v>
      </c>
      <c r="B203" s="1" t="s">
        <v>206</v>
      </c>
      <c r="C203" s="2">
        <v>21624</v>
      </c>
    </row>
    <row r="204" spans="1:3" ht="12" customHeight="1" x14ac:dyDescent="0.3">
      <c r="A204" t="s">
        <v>2</v>
      </c>
      <c r="B204" s="1" t="s">
        <v>207</v>
      </c>
      <c r="C204" s="11">
        <v>21624214</v>
      </c>
    </row>
    <row r="205" spans="1:3" ht="12" customHeight="1" x14ac:dyDescent="0.3">
      <c r="A205" t="s">
        <v>2</v>
      </c>
      <c r="B205" s="1" t="s">
        <v>208</v>
      </c>
      <c r="C205" s="11">
        <v>2162421</v>
      </c>
    </row>
    <row r="206" spans="1:3" ht="12" customHeight="1" x14ac:dyDescent="0.3">
      <c r="A206" t="s">
        <v>2</v>
      </c>
      <c r="B206" s="1" t="s">
        <v>209</v>
      </c>
      <c r="C206" s="11">
        <v>216242</v>
      </c>
    </row>
    <row r="207" spans="1:3" ht="12" customHeight="1" x14ac:dyDescent="0.3">
      <c r="A207" t="s">
        <v>2</v>
      </c>
      <c r="B207" s="1" t="s">
        <v>210</v>
      </c>
      <c r="C207" s="2">
        <v>216242144</v>
      </c>
    </row>
    <row r="208" spans="1:3" ht="11.25" customHeight="1" x14ac:dyDescent="0.3">
      <c r="A208" t="s">
        <v>2</v>
      </c>
      <c r="B208" s="1" t="s">
        <v>211</v>
      </c>
      <c r="C208" s="2">
        <v>21624214423</v>
      </c>
    </row>
    <row r="209" spans="1:3" ht="11.25" customHeight="1" x14ac:dyDescent="0.3">
      <c r="A209" t="s">
        <v>2</v>
      </c>
      <c r="B209" s="1" t="s">
        <v>212</v>
      </c>
      <c r="C209" s="2">
        <v>2162421442</v>
      </c>
    </row>
    <row r="210" spans="1:3" ht="11.25" customHeight="1" x14ac:dyDescent="0.3">
      <c r="A210" t="s">
        <v>2</v>
      </c>
      <c r="B210" s="1" t="s">
        <v>213</v>
      </c>
      <c r="C210" s="2">
        <v>2233133</v>
      </c>
    </row>
    <row r="211" spans="1:3" ht="11.25" customHeight="1" x14ac:dyDescent="0.3">
      <c r="A211" t="s">
        <v>2</v>
      </c>
      <c r="B211" s="1" t="s">
        <v>214</v>
      </c>
      <c r="C211" s="2">
        <v>2162</v>
      </c>
    </row>
    <row r="212" spans="1:3" ht="11.25" customHeight="1" x14ac:dyDescent="0.3">
      <c r="A212" t="s">
        <v>2</v>
      </c>
      <c r="B212" s="1" t="s">
        <v>215</v>
      </c>
      <c r="C212" s="2">
        <v>212</v>
      </c>
    </row>
    <row r="213" spans="1:3" ht="11.25" customHeight="1" x14ac:dyDescent="0.3">
      <c r="A213" t="s">
        <v>2</v>
      </c>
      <c r="B213" s="1" t="s">
        <v>216</v>
      </c>
      <c r="C213" s="2">
        <v>2163</v>
      </c>
    </row>
    <row r="214" spans="1:3" ht="11.25" customHeight="1" x14ac:dyDescent="0.3">
      <c r="A214" t="s">
        <v>2</v>
      </c>
      <c r="B214" s="1" t="s">
        <v>217</v>
      </c>
      <c r="C214" s="2">
        <v>2233231</v>
      </c>
    </row>
    <row r="215" spans="1:3" ht="11.25" customHeight="1" x14ac:dyDescent="0.3">
      <c r="A215" t="s">
        <v>2</v>
      </c>
      <c r="B215" s="1" t="s">
        <v>218</v>
      </c>
      <c r="C215" s="2">
        <v>21421221</v>
      </c>
    </row>
    <row r="216" spans="1:3" ht="11.25" customHeight="1" x14ac:dyDescent="0.3">
      <c r="A216" t="s">
        <v>2</v>
      </c>
      <c r="B216" s="1" t="s">
        <v>219</v>
      </c>
      <c r="C216" s="2">
        <v>2142123</v>
      </c>
    </row>
    <row r="217" spans="1:3" ht="11.25" customHeight="1" x14ac:dyDescent="0.3">
      <c r="A217" t="s">
        <v>2</v>
      </c>
      <c r="B217" s="1" t="s">
        <v>220</v>
      </c>
      <c r="C217" s="2">
        <v>214</v>
      </c>
    </row>
    <row r="218" spans="1:3" ht="11.25" customHeight="1" x14ac:dyDescent="0.3">
      <c r="A218" t="s">
        <v>2</v>
      </c>
      <c r="B218" s="1" t="s">
        <v>221</v>
      </c>
      <c r="C218" s="2">
        <v>2143</v>
      </c>
    </row>
    <row r="219" spans="1:3" ht="11.25" customHeight="1" x14ac:dyDescent="0.3">
      <c r="A219" t="s">
        <v>2</v>
      </c>
      <c r="B219" s="1" t="s">
        <v>222</v>
      </c>
      <c r="C219" s="2">
        <v>2142</v>
      </c>
    </row>
    <row r="220" spans="1:3" ht="11.25" customHeight="1" x14ac:dyDescent="0.3">
      <c r="A220" t="s">
        <v>2</v>
      </c>
      <c r="B220" s="1" t="s">
        <v>223</v>
      </c>
      <c r="C220" s="2">
        <v>243</v>
      </c>
    </row>
    <row r="221" spans="1:3" ht="11.25" customHeight="1" x14ac:dyDescent="0.3">
      <c r="A221" t="s">
        <v>2</v>
      </c>
      <c r="B221" s="1" t="s">
        <v>224</v>
      </c>
      <c r="C221" s="2">
        <v>2233232</v>
      </c>
    </row>
    <row r="222" spans="1:3" ht="11.25" customHeight="1" x14ac:dyDescent="0.3">
      <c r="A222" t="s">
        <v>2</v>
      </c>
      <c r="B222" s="1" t="s">
        <v>225</v>
      </c>
      <c r="C222" s="2">
        <v>22</v>
      </c>
    </row>
    <row r="223" spans="1:3" ht="11.25" customHeight="1" x14ac:dyDescent="0.3">
      <c r="A223" t="s">
        <v>2</v>
      </c>
      <c r="B223" s="1" t="s">
        <v>226</v>
      </c>
      <c r="C223" s="2">
        <v>23</v>
      </c>
    </row>
    <row r="224" spans="1:3" ht="11.25" customHeight="1" x14ac:dyDescent="0.3">
      <c r="A224" t="s">
        <v>2</v>
      </c>
      <c r="B224" s="1" t="s">
        <v>227</v>
      </c>
      <c r="C224" s="2">
        <v>2142121</v>
      </c>
    </row>
    <row r="225" spans="1:3" ht="11.25" customHeight="1" x14ac:dyDescent="0.3">
      <c r="A225" t="s">
        <v>2</v>
      </c>
      <c r="B225" s="1" t="s">
        <v>228</v>
      </c>
      <c r="C225" s="2">
        <v>223312</v>
      </c>
    </row>
    <row r="226" spans="1:3" ht="11.25" customHeight="1" x14ac:dyDescent="0.3">
      <c r="A226" t="s">
        <v>2</v>
      </c>
      <c r="B226" s="1" t="s">
        <v>229</v>
      </c>
      <c r="C226" s="2">
        <v>22331</v>
      </c>
    </row>
    <row r="227" spans="1:3" ht="11.25" customHeight="1" x14ac:dyDescent="0.3">
      <c r="A227" t="s">
        <v>2</v>
      </c>
      <c r="B227" s="1" t="s">
        <v>230</v>
      </c>
      <c r="C227" s="2">
        <v>2233</v>
      </c>
    </row>
    <row r="228" spans="1:3" ht="11.25" customHeight="1" x14ac:dyDescent="0.3">
      <c r="A228" t="s">
        <v>2</v>
      </c>
      <c r="B228" s="1" t="s">
        <v>231</v>
      </c>
      <c r="C228" s="2">
        <v>2232</v>
      </c>
    </row>
    <row r="229" spans="1:3" ht="11.25" customHeight="1" x14ac:dyDescent="0.3">
      <c r="A229" t="s">
        <v>2</v>
      </c>
      <c r="B229" s="1" t="s">
        <v>232</v>
      </c>
      <c r="C229" s="2">
        <v>223</v>
      </c>
    </row>
    <row r="230" spans="1:3" ht="11.25" customHeight="1" x14ac:dyDescent="0.3">
      <c r="A230" t="s">
        <v>2</v>
      </c>
      <c r="B230" s="1" t="s">
        <v>233</v>
      </c>
      <c r="C230" s="2">
        <v>22333</v>
      </c>
    </row>
    <row r="231" spans="1:3" ht="11.25" customHeight="1" x14ac:dyDescent="0.3">
      <c r="A231" t="s">
        <v>2</v>
      </c>
      <c r="B231" s="1" t="s">
        <v>234</v>
      </c>
      <c r="C231" s="2">
        <v>214213</v>
      </c>
    </row>
    <row r="232" spans="1:3" ht="11.25" customHeight="1" x14ac:dyDescent="0.3">
      <c r="A232" t="s">
        <v>2</v>
      </c>
      <c r="B232" s="1" t="s">
        <v>235</v>
      </c>
      <c r="C232" s="2">
        <v>2233113352</v>
      </c>
    </row>
    <row r="233" spans="1:3" ht="11.25" customHeight="1" x14ac:dyDescent="0.3">
      <c r="A233" t="s">
        <v>2</v>
      </c>
      <c r="B233" s="1" t="s">
        <v>236</v>
      </c>
      <c r="C233" s="2">
        <v>2233113351</v>
      </c>
    </row>
    <row r="234" spans="1:3" ht="11.25" customHeight="1" x14ac:dyDescent="0.3">
      <c r="A234" t="s">
        <v>2</v>
      </c>
      <c r="B234" s="1" t="s">
        <v>237</v>
      </c>
      <c r="C234" s="2">
        <v>241</v>
      </c>
    </row>
    <row r="235" spans="1:3" ht="11.25" customHeight="1" x14ac:dyDescent="0.3">
      <c r="A235" t="s">
        <v>2</v>
      </c>
      <c r="B235" s="1" t="s">
        <v>238</v>
      </c>
      <c r="C235" s="2">
        <v>24</v>
      </c>
    </row>
    <row r="236" spans="1:3" ht="11.25" customHeight="1" x14ac:dyDescent="0.3">
      <c r="A236" t="s">
        <v>2</v>
      </c>
      <c r="B236" s="1" t="s">
        <v>239</v>
      </c>
      <c r="C236" s="2">
        <v>211121</v>
      </c>
    </row>
    <row r="237" spans="1:3" ht="11.25" customHeight="1" x14ac:dyDescent="0.3">
      <c r="A237" t="s">
        <v>2</v>
      </c>
      <c r="B237" s="1" t="s">
        <v>240</v>
      </c>
      <c r="C237" s="2">
        <v>211122</v>
      </c>
    </row>
    <row r="238" spans="1:3" ht="11.25" customHeight="1" x14ac:dyDescent="0.3">
      <c r="A238" t="s">
        <v>2</v>
      </c>
      <c r="B238" s="1" t="s">
        <v>241</v>
      </c>
      <c r="C238" s="2">
        <v>211123</v>
      </c>
    </row>
    <row r="239" spans="1:3" ht="11.25" customHeight="1" x14ac:dyDescent="0.3">
      <c r="A239" t="s">
        <v>2</v>
      </c>
      <c r="B239" s="1" t="s">
        <v>242</v>
      </c>
      <c r="C239" s="2">
        <v>211126</v>
      </c>
    </row>
    <row r="240" spans="1:3" ht="11.25" customHeight="1" x14ac:dyDescent="0.3">
      <c r="A240" t="s">
        <v>2</v>
      </c>
      <c r="B240" s="1" t="s">
        <v>243</v>
      </c>
      <c r="C240" s="2">
        <v>2111</v>
      </c>
    </row>
    <row r="241" spans="1:3" ht="11.25" customHeight="1" x14ac:dyDescent="0.3">
      <c r="A241" t="s">
        <v>2</v>
      </c>
      <c r="B241" s="1" t="s">
        <v>244</v>
      </c>
      <c r="C241" s="2">
        <v>211</v>
      </c>
    </row>
    <row r="242" spans="1:3" ht="11.25" customHeight="1" x14ac:dyDescent="0.3">
      <c r="A242" t="s">
        <v>2</v>
      </c>
      <c r="B242" s="1" t="s">
        <v>245</v>
      </c>
      <c r="C242" s="2">
        <v>21112</v>
      </c>
    </row>
    <row r="243" spans="1:3" ht="11.25" customHeight="1" x14ac:dyDescent="0.3">
      <c r="A243" t="s">
        <v>2</v>
      </c>
      <c r="B243" s="1" t="s">
        <v>246</v>
      </c>
      <c r="C243" s="2">
        <v>21</v>
      </c>
    </row>
    <row r="244" spans="1:3" ht="11.25" customHeight="1" x14ac:dyDescent="0.3">
      <c r="A244" t="s">
        <v>2</v>
      </c>
      <c r="B244" s="1" t="s">
        <v>247</v>
      </c>
      <c r="C244" s="2">
        <v>2142122</v>
      </c>
    </row>
    <row r="245" spans="1:3" ht="11.25" customHeight="1" x14ac:dyDescent="0.3">
      <c r="A245" t="s">
        <v>2</v>
      </c>
      <c r="B245" s="1" t="s">
        <v>248</v>
      </c>
      <c r="C245" s="2">
        <v>2142124</v>
      </c>
    </row>
    <row r="246" spans="1:3" ht="11.25" customHeight="1" x14ac:dyDescent="0.3">
      <c r="A246" t="s">
        <v>2</v>
      </c>
      <c r="B246" s="1" t="s">
        <v>249</v>
      </c>
      <c r="C246" s="2">
        <v>223313121</v>
      </c>
    </row>
    <row r="247" spans="1:3" ht="11.25" customHeight="1" x14ac:dyDescent="0.3">
      <c r="A247" t="s">
        <v>2</v>
      </c>
      <c r="B247" s="1" t="s">
        <v>250</v>
      </c>
      <c r="C247" s="11">
        <v>2233132</v>
      </c>
    </row>
    <row r="248" spans="1:3" ht="11.25" customHeight="1" x14ac:dyDescent="0.3">
      <c r="A248" t="s">
        <v>2</v>
      </c>
      <c r="B248" s="1" t="s">
        <v>251</v>
      </c>
      <c r="C248" s="2">
        <v>223313112</v>
      </c>
    </row>
    <row r="249" spans="1:3" ht="11.25" customHeight="1" x14ac:dyDescent="0.3">
      <c r="A249" t="s">
        <v>2</v>
      </c>
      <c r="B249" s="1" t="s">
        <v>252</v>
      </c>
      <c r="C249" s="2">
        <v>2233131123</v>
      </c>
    </row>
    <row r="250" spans="1:3" ht="11.25" customHeight="1" x14ac:dyDescent="0.3">
      <c r="A250" t="s">
        <v>2</v>
      </c>
      <c r="B250" s="1" t="s">
        <v>253</v>
      </c>
      <c r="C250" s="2">
        <v>2233233</v>
      </c>
    </row>
    <row r="251" spans="1:3" ht="11.25" customHeight="1" x14ac:dyDescent="0.3">
      <c r="A251" t="s">
        <v>2</v>
      </c>
      <c r="B251" s="1" t="s">
        <v>254</v>
      </c>
      <c r="C251" s="2">
        <v>21113</v>
      </c>
    </row>
    <row r="252" spans="1:3" ht="11.25" customHeight="1" x14ac:dyDescent="0.3">
      <c r="A252" t="s">
        <v>2</v>
      </c>
      <c r="B252" s="1" t="s">
        <v>255</v>
      </c>
      <c r="C252" s="11">
        <v>223311335</v>
      </c>
    </row>
    <row r="253" spans="1:3" ht="11.25" customHeight="1" x14ac:dyDescent="0.3">
      <c r="A253" t="s">
        <v>2</v>
      </c>
      <c r="B253" s="1" t="s">
        <v>256</v>
      </c>
      <c r="C253" s="2">
        <v>223311321</v>
      </c>
    </row>
    <row r="254" spans="1:3" ht="11.25" customHeight="1" x14ac:dyDescent="0.3">
      <c r="A254" t="s">
        <v>2</v>
      </c>
      <c r="B254" s="1" t="s">
        <v>257</v>
      </c>
      <c r="C254" s="2">
        <v>22332331</v>
      </c>
    </row>
    <row r="255" spans="1:3" ht="11.25" customHeight="1" x14ac:dyDescent="0.3">
      <c r="A255" t="s">
        <v>2</v>
      </c>
      <c r="B255" s="1" t="s">
        <v>258</v>
      </c>
      <c r="C255" s="2">
        <v>22331133513</v>
      </c>
    </row>
    <row r="256" spans="1:3" ht="11.25" customHeight="1" x14ac:dyDescent="0.3">
      <c r="A256" t="s">
        <v>2</v>
      </c>
      <c r="B256" s="1" t="s">
        <v>259</v>
      </c>
      <c r="C256" s="2">
        <v>2233131124</v>
      </c>
    </row>
    <row r="257" spans="1:3" ht="11.25" customHeight="1" x14ac:dyDescent="0.3">
      <c r="A257" t="s">
        <v>2</v>
      </c>
      <c r="B257" s="1" t="s">
        <v>260</v>
      </c>
      <c r="C257" s="11">
        <v>223313123</v>
      </c>
    </row>
    <row r="258" spans="1:3" ht="11.25" customHeight="1" x14ac:dyDescent="0.3">
      <c r="A258" t="s">
        <v>2</v>
      </c>
      <c r="B258" s="1" t="s">
        <v>261</v>
      </c>
      <c r="C258" s="2">
        <v>223323213</v>
      </c>
    </row>
    <row r="259" spans="1:3" ht="11.25" customHeight="1" x14ac:dyDescent="0.3">
      <c r="A259" t="s">
        <v>2</v>
      </c>
      <c r="B259" s="1" t="s">
        <v>262</v>
      </c>
      <c r="C259" s="2">
        <v>2233113355</v>
      </c>
    </row>
    <row r="260" spans="1:3" ht="11.25" customHeight="1" x14ac:dyDescent="0.3">
      <c r="A260" t="s">
        <v>2</v>
      </c>
      <c r="B260" s="1" t="s">
        <v>263</v>
      </c>
      <c r="C260" s="2">
        <v>223313</v>
      </c>
    </row>
    <row r="261" spans="1:3" ht="11.25" customHeight="1" x14ac:dyDescent="0.3">
      <c r="A261" t="s">
        <v>2</v>
      </c>
      <c r="B261" s="1" t="s">
        <v>264</v>
      </c>
      <c r="C261" s="2">
        <v>2142112</v>
      </c>
    </row>
    <row r="262" spans="1:3" ht="11.25" customHeight="1" x14ac:dyDescent="0.3">
      <c r="A262" t="s">
        <v>2</v>
      </c>
      <c r="B262" s="1" t="s">
        <v>265</v>
      </c>
      <c r="C262" s="11">
        <v>223311</v>
      </c>
    </row>
    <row r="263" spans="1:3" ht="11.25" customHeight="1" x14ac:dyDescent="0.3">
      <c r="A263" t="s">
        <v>2</v>
      </c>
      <c r="B263" s="1" t="s">
        <v>266</v>
      </c>
      <c r="C263" s="2">
        <v>223333</v>
      </c>
    </row>
    <row r="264" spans="1:3" ht="11.25" customHeight="1" x14ac:dyDescent="0.3">
      <c r="A264" t="s">
        <v>2</v>
      </c>
      <c r="B264" s="1" t="s">
        <v>267</v>
      </c>
      <c r="C264" s="2">
        <v>2233113353</v>
      </c>
    </row>
    <row r="265" spans="1:3" ht="11.25" customHeight="1" x14ac:dyDescent="0.3">
      <c r="A265" t="s">
        <v>2</v>
      </c>
      <c r="B265" s="1" t="s">
        <v>268</v>
      </c>
      <c r="C265" s="2">
        <v>2162422</v>
      </c>
    </row>
    <row r="266" spans="1:3" ht="11.25" customHeight="1" x14ac:dyDescent="0.3">
      <c r="A266" t="s">
        <v>2</v>
      </c>
      <c r="B266" s="1" t="s">
        <v>269</v>
      </c>
      <c r="C266" s="2">
        <v>2233111</v>
      </c>
    </row>
    <row r="267" spans="1:3" ht="11.25" customHeight="1" x14ac:dyDescent="0.3">
      <c r="A267" t="s">
        <v>2</v>
      </c>
      <c r="B267" s="1" t="s">
        <v>270</v>
      </c>
      <c r="C267" s="11">
        <v>2233112</v>
      </c>
    </row>
    <row r="268" spans="1:3" ht="11.25" customHeight="1" x14ac:dyDescent="0.3">
      <c r="A268" t="s">
        <v>2</v>
      </c>
      <c r="B268" s="1" t="s">
        <v>271</v>
      </c>
      <c r="C268" s="2">
        <v>216243</v>
      </c>
    </row>
    <row r="269" spans="1:3" ht="11.25" customHeight="1" x14ac:dyDescent="0.3">
      <c r="A269" t="s">
        <v>2</v>
      </c>
      <c r="B269" s="1" t="s">
        <v>272</v>
      </c>
      <c r="C269" s="2">
        <v>216241</v>
      </c>
    </row>
    <row r="270" spans="1:3" ht="11.25" customHeight="1" x14ac:dyDescent="0.3">
      <c r="A270" t="s">
        <v>2</v>
      </c>
      <c r="B270" s="1" t="s">
        <v>273</v>
      </c>
      <c r="C270" s="2">
        <v>216242142</v>
      </c>
    </row>
    <row r="271" spans="1:3" ht="11.25" customHeight="1" x14ac:dyDescent="0.3">
      <c r="A271" t="s">
        <v>2</v>
      </c>
      <c r="B271" s="1" t="s">
        <v>274</v>
      </c>
      <c r="C271" s="2">
        <v>216242141</v>
      </c>
    </row>
    <row r="272" spans="1:3" ht="11.25" customHeight="1" x14ac:dyDescent="0.3">
      <c r="A272" t="s">
        <v>2</v>
      </c>
      <c r="B272" s="1" t="s">
        <v>275</v>
      </c>
      <c r="C272" s="2">
        <v>21624216</v>
      </c>
    </row>
    <row r="273" spans="1:3" ht="11.25" customHeight="1" x14ac:dyDescent="0.3">
      <c r="A273" t="s">
        <v>2</v>
      </c>
      <c r="B273" s="1" t="s">
        <v>276</v>
      </c>
      <c r="C273" s="11">
        <v>21624215</v>
      </c>
    </row>
    <row r="274" spans="1:3" ht="11.25" customHeight="1" x14ac:dyDescent="0.3">
      <c r="A274" t="s">
        <v>2</v>
      </c>
      <c r="B274" s="1" t="s">
        <v>277</v>
      </c>
      <c r="C274" s="2">
        <v>21624213</v>
      </c>
    </row>
    <row r="275" spans="1:3" ht="11.25" customHeight="1" x14ac:dyDescent="0.3">
      <c r="A275" t="s">
        <v>2</v>
      </c>
      <c r="B275" s="1" t="s">
        <v>278</v>
      </c>
      <c r="C275" s="2">
        <v>21624212</v>
      </c>
    </row>
    <row r="276" spans="1:3" ht="11.25" customHeight="1" x14ac:dyDescent="0.3">
      <c r="A276" t="s">
        <v>2</v>
      </c>
      <c r="B276" s="1" t="s">
        <v>279</v>
      </c>
      <c r="C276" s="2">
        <v>2162423</v>
      </c>
    </row>
    <row r="277" spans="1:3" ht="11.25" customHeight="1" x14ac:dyDescent="0.3">
      <c r="A277" t="s">
        <v>2</v>
      </c>
      <c r="B277" s="1" t="s">
        <v>280</v>
      </c>
      <c r="C277" s="2">
        <v>2162421444</v>
      </c>
    </row>
    <row r="278" spans="1:3" ht="11.25" customHeight="1" x14ac:dyDescent="0.3">
      <c r="A278" t="s">
        <v>2</v>
      </c>
      <c r="B278" s="1" t="s">
        <v>281</v>
      </c>
      <c r="C278" s="2">
        <v>2162421443</v>
      </c>
    </row>
    <row r="279" spans="1:3" ht="11.25" customHeight="1" x14ac:dyDescent="0.3">
      <c r="A279" t="s">
        <v>2</v>
      </c>
      <c r="B279" s="1" t="s">
        <v>282</v>
      </c>
      <c r="C279" s="11">
        <v>216242144231</v>
      </c>
    </row>
    <row r="280" spans="1:3" ht="11.25" customHeight="1" x14ac:dyDescent="0.3">
      <c r="A280" t="s">
        <v>2</v>
      </c>
      <c r="B280" s="1" t="s">
        <v>283</v>
      </c>
      <c r="C280" s="2">
        <v>216242144232</v>
      </c>
    </row>
    <row r="281" spans="1:3" ht="11.25" customHeight="1" x14ac:dyDescent="0.3">
      <c r="A281" t="s">
        <v>2</v>
      </c>
      <c r="B281" s="1" t="s">
        <v>284</v>
      </c>
      <c r="C281" s="2">
        <v>216242143</v>
      </c>
    </row>
    <row r="282" spans="1:3" ht="11.25" customHeight="1" x14ac:dyDescent="0.3">
      <c r="A282" t="s">
        <v>2</v>
      </c>
      <c r="B282" s="1" t="s">
        <v>285</v>
      </c>
      <c r="C282" s="2">
        <v>21624214421</v>
      </c>
    </row>
    <row r="283" spans="1:3" ht="11.25" customHeight="1" x14ac:dyDescent="0.3">
      <c r="A283" t="s">
        <v>2</v>
      </c>
      <c r="B283" s="1" t="s">
        <v>286</v>
      </c>
      <c r="C283" s="2">
        <v>21624214422</v>
      </c>
    </row>
    <row r="284" spans="1:3" ht="11.25" customHeight="1" x14ac:dyDescent="0.3">
      <c r="A284" t="s">
        <v>2</v>
      </c>
      <c r="B284" s="1" t="s">
        <v>287</v>
      </c>
      <c r="C284" s="2">
        <v>216242144233</v>
      </c>
    </row>
    <row r="285" spans="1:3" ht="11.25" customHeight="1" x14ac:dyDescent="0.3">
      <c r="A285" t="s">
        <v>2</v>
      </c>
      <c r="B285" s="1" t="s">
        <v>288</v>
      </c>
      <c r="C285" s="11">
        <v>2233121</v>
      </c>
    </row>
    <row r="286" spans="1:3" ht="11.25" customHeight="1" x14ac:dyDescent="0.3">
      <c r="A286" t="s">
        <v>2</v>
      </c>
      <c r="B286" s="1" t="s">
        <v>289</v>
      </c>
      <c r="C286" s="2">
        <v>214212212</v>
      </c>
    </row>
    <row r="287" spans="1:3" ht="11.25" customHeight="1" x14ac:dyDescent="0.3">
      <c r="A287" t="s">
        <v>2</v>
      </c>
      <c r="B287" s="1" t="s">
        <v>290</v>
      </c>
      <c r="C287" s="2">
        <v>223331</v>
      </c>
    </row>
    <row r="288" spans="1:3" ht="11.25" customHeight="1" x14ac:dyDescent="0.3">
      <c r="A288" t="s">
        <v>2</v>
      </c>
      <c r="B288" s="1" t="s">
        <v>291</v>
      </c>
      <c r="C288" s="2">
        <v>21621</v>
      </c>
    </row>
    <row r="289" spans="1:3" ht="11.25" customHeight="1" x14ac:dyDescent="0.3">
      <c r="A289" t="s">
        <v>2</v>
      </c>
      <c r="B289" s="1" t="s">
        <v>292</v>
      </c>
      <c r="C289" s="2">
        <v>22331311</v>
      </c>
    </row>
    <row r="290" spans="1:3" ht="11.25" customHeight="1" x14ac:dyDescent="0.3">
      <c r="A290" t="s">
        <v>2</v>
      </c>
      <c r="B290" s="12" t="s">
        <v>293</v>
      </c>
      <c r="C290" s="2">
        <v>33221</v>
      </c>
    </row>
    <row r="291" spans="1:3" ht="11.25" customHeight="1" x14ac:dyDescent="0.3">
      <c r="A291" t="s">
        <v>2</v>
      </c>
      <c r="B291" s="12" t="s">
        <v>294</v>
      </c>
      <c r="C291" s="2">
        <v>3143231</v>
      </c>
    </row>
    <row r="292" spans="1:3" ht="11.25" customHeight="1" x14ac:dyDescent="0.3">
      <c r="A292" t="s">
        <v>2</v>
      </c>
      <c r="B292" s="12" t="s">
        <v>295</v>
      </c>
      <c r="C292" s="11">
        <v>33222</v>
      </c>
    </row>
    <row r="293" spans="1:3" ht="11.25" customHeight="1" x14ac:dyDescent="0.3">
      <c r="A293" t="s">
        <v>2</v>
      </c>
      <c r="B293" s="12" t="s">
        <v>296</v>
      </c>
      <c r="C293" s="2">
        <v>33513</v>
      </c>
    </row>
    <row r="294" spans="1:3" ht="11.25" customHeight="1" x14ac:dyDescent="0.3">
      <c r="A294" t="s">
        <v>2</v>
      </c>
      <c r="B294" s="12" t="s">
        <v>297</v>
      </c>
      <c r="C294" s="2">
        <v>33512</v>
      </c>
    </row>
    <row r="295" spans="1:3" ht="11.25" customHeight="1" x14ac:dyDescent="0.3">
      <c r="A295" t="s">
        <v>2</v>
      </c>
      <c r="B295" s="12" t="s">
        <v>298</v>
      </c>
      <c r="C295" s="2">
        <v>3351</v>
      </c>
    </row>
    <row r="296" spans="1:3" ht="11.25" customHeight="1" x14ac:dyDescent="0.3">
      <c r="A296" t="s">
        <v>2</v>
      </c>
      <c r="B296" s="12" t="s">
        <v>299</v>
      </c>
      <c r="C296" s="2">
        <v>3353</v>
      </c>
    </row>
    <row r="297" spans="1:3" ht="11.25" customHeight="1" x14ac:dyDescent="0.3">
      <c r="A297" t="s">
        <v>2</v>
      </c>
      <c r="B297" s="12" t="s">
        <v>300</v>
      </c>
      <c r="C297" s="2">
        <v>3352</v>
      </c>
    </row>
    <row r="298" spans="1:3" ht="11.25" customHeight="1" x14ac:dyDescent="0.3">
      <c r="A298" t="s">
        <v>2</v>
      </c>
      <c r="B298" s="12" t="s">
        <v>301</v>
      </c>
      <c r="C298" s="11">
        <v>33511</v>
      </c>
    </row>
    <row r="299" spans="1:3" ht="11.25" customHeight="1" x14ac:dyDescent="0.3">
      <c r="A299" t="s">
        <v>2</v>
      </c>
      <c r="B299" s="12" t="s">
        <v>302</v>
      </c>
      <c r="C299" s="2">
        <v>3361</v>
      </c>
    </row>
    <row r="300" spans="1:3" ht="11.25" customHeight="1" x14ac:dyDescent="0.3">
      <c r="A300" t="s">
        <v>2</v>
      </c>
      <c r="B300" s="12" t="s">
        <v>303</v>
      </c>
      <c r="C300" s="2">
        <v>3321</v>
      </c>
    </row>
    <row r="301" spans="1:3" ht="11.25" customHeight="1" x14ac:dyDescent="0.3">
      <c r="A301" t="s">
        <v>2</v>
      </c>
      <c r="B301" s="12" t="s">
        <v>304</v>
      </c>
      <c r="C301" s="2">
        <v>3143253122</v>
      </c>
    </row>
    <row r="302" spans="1:3" ht="11.25" customHeight="1" x14ac:dyDescent="0.3">
      <c r="A302" t="s">
        <v>2</v>
      </c>
      <c r="B302" s="12" t="s">
        <v>305</v>
      </c>
      <c r="C302" s="2">
        <v>314324</v>
      </c>
    </row>
    <row r="303" spans="1:3" ht="11.25" customHeight="1" x14ac:dyDescent="0.3">
      <c r="A303" t="s">
        <v>2</v>
      </c>
      <c r="B303" s="12" t="s">
        <v>306</v>
      </c>
      <c r="C303" s="2">
        <v>314326</v>
      </c>
    </row>
    <row r="304" spans="1:3" ht="11.25" customHeight="1" x14ac:dyDescent="0.3">
      <c r="A304" t="s">
        <v>2</v>
      </c>
      <c r="B304" s="12" t="s">
        <v>307</v>
      </c>
      <c r="C304" s="11">
        <v>31431</v>
      </c>
    </row>
    <row r="305" spans="1:3" ht="11.25" customHeight="1" x14ac:dyDescent="0.3">
      <c r="A305" t="s">
        <v>2</v>
      </c>
      <c r="B305" s="12" t="s">
        <v>308</v>
      </c>
      <c r="C305" s="2">
        <v>3323</v>
      </c>
    </row>
    <row r="306" spans="1:3" ht="11.25" customHeight="1" x14ac:dyDescent="0.3">
      <c r="A306" t="s">
        <v>2</v>
      </c>
      <c r="B306" s="12" t="s">
        <v>309</v>
      </c>
      <c r="C306" s="2">
        <v>311122</v>
      </c>
    </row>
    <row r="307" spans="1:3" ht="11.25" customHeight="1" x14ac:dyDescent="0.3">
      <c r="A307" t="s">
        <v>2</v>
      </c>
      <c r="B307" s="12" t="s">
        <v>310</v>
      </c>
      <c r="C307" s="2">
        <v>311121</v>
      </c>
    </row>
    <row r="308" spans="1:3" ht="11.25" customHeight="1" x14ac:dyDescent="0.3">
      <c r="A308" t="s">
        <v>2</v>
      </c>
      <c r="B308" s="12" t="s">
        <v>311</v>
      </c>
      <c r="C308" s="2">
        <v>3111123</v>
      </c>
    </row>
    <row r="309" spans="1:3" ht="11.25" customHeight="1" x14ac:dyDescent="0.3">
      <c r="A309" t="s">
        <v>2</v>
      </c>
      <c r="B309" s="12" t="s">
        <v>312</v>
      </c>
      <c r="C309" s="2">
        <v>3111122</v>
      </c>
    </row>
    <row r="310" spans="1:3" ht="11.25" customHeight="1" x14ac:dyDescent="0.3">
      <c r="A310" t="s">
        <v>2</v>
      </c>
      <c r="B310" s="12" t="s">
        <v>313</v>
      </c>
      <c r="C310" s="11">
        <v>3111121</v>
      </c>
    </row>
    <row r="311" spans="1:3" ht="11.25" customHeight="1" x14ac:dyDescent="0.3">
      <c r="A311" t="s">
        <v>2</v>
      </c>
      <c r="B311" s="12" t="s">
        <v>314</v>
      </c>
      <c r="C311" s="2">
        <v>315</v>
      </c>
    </row>
    <row r="312" spans="1:3" ht="11.25" customHeight="1" x14ac:dyDescent="0.3">
      <c r="A312" t="s">
        <v>2</v>
      </c>
      <c r="B312" s="12" t="s">
        <v>315</v>
      </c>
      <c r="C312" s="2">
        <v>36</v>
      </c>
    </row>
    <row r="313" spans="1:3" ht="11.25" customHeight="1" x14ac:dyDescent="0.3">
      <c r="A313" t="s">
        <v>2</v>
      </c>
      <c r="B313" s="12" t="s">
        <v>316</v>
      </c>
      <c r="C313" s="2">
        <v>3111133</v>
      </c>
    </row>
    <row r="314" spans="1:3" ht="11.25" customHeight="1" x14ac:dyDescent="0.3">
      <c r="A314" t="s">
        <v>2</v>
      </c>
      <c r="B314" s="12" t="s">
        <v>317</v>
      </c>
      <c r="C314" s="2">
        <v>3111124</v>
      </c>
    </row>
    <row r="315" spans="1:3" ht="11.25" customHeight="1" x14ac:dyDescent="0.3">
      <c r="A315" t="s">
        <v>2</v>
      </c>
      <c r="B315" s="12" t="s">
        <v>318</v>
      </c>
      <c r="C315" s="2">
        <v>3143253121</v>
      </c>
    </row>
    <row r="316" spans="1:3" ht="11.25" customHeight="1" x14ac:dyDescent="0.3">
      <c r="A316" t="s">
        <v>2</v>
      </c>
      <c r="B316" s="12" t="s">
        <v>319</v>
      </c>
      <c r="C316" s="11">
        <v>31432314</v>
      </c>
    </row>
    <row r="317" spans="1:3" ht="11.25" customHeight="1" x14ac:dyDescent="0.3">
      <c r="A317" t="s">
        <v>2</v>
      </c>
      <c r="B317" s="12" t="s">
        <v>320</v>
      </c>
      <c r="C317" s="2">
        <v>3143213</v>
      </c>
    </row>
    <row r="318" spans="1:3" ht="11.25" customHeight="1" x14ac:dyDescent="0.3">
      <c r="A318" t="s">
        <v>2</v>
      </c>
      <c r="B318" s="12" t="s">
        <v>321</v>
      </c>
      <c r="C318" s="2">
        <v>31412</v>
      </c>
    </row>
    <row r="319" spans="1:3" ht="11.25" customHeight="1" x14ac:dyDescent="0.3">
      <c r="A319" t="s">
        <v>2</v>
      </c>
      <c r="B319" s="12" t="s">
        <v>322</v>
      </c>
      <c r="C319" s="2">
        <v>31413</v>
      </c>
    </row>
    <row r="320" spans="1:3" ht="11.25" customHeight="1" x14ac:dyDescent="0.3">
      <c r="A320" t="s">
        <v>2</v>
      </c>
      <c r="B320" s="12" t="s">
        <v>323</v>
      </c>
      <c r="C320" s="2">
        <v>31112</v>
      </c>
    </row>
    <row r="321" spans="1:3" ht="11.25" customHeight="1" x14ac:dyDescent="0.3">
      <c r="A321" t="s">
        <v>2</v>
      </c>
      <c r="B321" s="12" t="s">
        <v>324</v>
      </c>
      <c r="C321" s="2">
        <v>3112</v>
      </c>
    </row>
    <row r="322" spans="1:3" ht="11.25" customHeight="1" x14ac:dyDescent="0.3">
      <c r="A322" t="s">
        <v>2</v>
      </c>
      <c r="B322" s="12" t="s">
        <v>325</v>
      </c>
      <c r="C322" s="11">
        <v>3113</v>
      </c>
    </row>
    <row r="323" spans="1:3" ht="11.25" customHeight="1" x14ac:dyDescent="0.3">
      <c r="A323" t="s">
        <v>2</v>
      </c>
      <c r="B323" s="12" t="s">
        <v>326</v>
      </c>
      <c r="C323" s="2">
        <v>31131</v>
      </c>
    </row>
    <row r="324" spans="1:3" ht="11.25" customHeight="1" x14ac:dyDescent="0.3">
      <c r="A324" t="s">
        <v>2</v>
      </c>
      <c r="B324" s="12" t="s">
        <v>327</v>
      </c>
      <c r="C324" s="2">
        <v>311155</v>
      </c>
    </row>
    <row r="325" spans="1:3" ht="11.25" customHeight="1" x14ac:dyDescent="0.3">
      <c r="A325" t="s">
        <v>2</v>
      </c>
      <c r="B325" s="12" t="s">
        <v>328</v>
      </c>
      <c r="C325" s="2">
        <v>31115</v>
      </c>
    </row>
    <row r="326" spans="1:3" ht="11.25" customHeight="1" x14ac:dyDescent="0.3">
      <c r="A326" t="s">
        <v>2</v>
      </c>
      <c r="B326" s="12" t="s">
        <v>329</v>
      </c>
      <c r="C326" s="2">
        <v>311112</v>
      </c>
    </row>
    <row r="327" spans="1:3" ht="11.25" customHeight="1" x14ac:dyDescent="0.3">
      <c r="A327" t="s">
        <v>2</v>
      </c>
      <c r="B327" s="12" t="s">
        <v>330</v>
      </c>
      <c r="C327" s="2">
        <v>3111131</v>
      </c>
    </row>
    <row r="328" spans="1:3" ht="11.25" customHeight="1" x14ac:dyDescent="0.3">
      <c r="A328" t="s">
        <v>2</v>
      </c>
      <c r="B328" s="12" t="s">
        <v>331</v>
      </c>
      <c r="C328" s="11">
        <v>311113</v>
      </c>
    </row>
    <row r="329" spans="1:3" ht="11.25" customHeight="1" x14ac:dyDescent="0.3">
      <c r="A329" t="s">
        <v>2</v>
      </c>
      <c r="B329" s="12" t="s">
        <v>332</v>
      </c>
      <c r="C329" s="2">
        <v>3111</v>
      </c>
    </row>
    <row r="330" spans="1:3" ht="11.25" customHeight="1" x14ac:dyDescent="0.3">
      <c r="A330" t="s">
        <v>2</v>
      </c>
      <c r="B330" s="12" t="s">
        <v>333</v>
      </c>
      <c r="C330" s="2">
        <v>364</v>
      </c>
    </row>
    <row r="331" spans="1:3" ht="11.25" customHeight="1" x14ac:dyDescent="0.3">
      <c r="A331" t="s">
        <v>2</v>
      </c>
      <c r="B331" s="12" t="s">
        <v>334</v>
      </c>
      <c r="C331" s="2">
        <v>3634</v>
      </c>
    </row>
    <row r="332" spans="1:3" ht="11.25" customHeight="1" x14ac:dyDescent="0.3">
      <c r="A332" t="s">
        <v>2</v>
      </c>
      <c r="B332" s="12" t="s">
        <v>335</v>
      </c>
      <c r="C332" s="2">
        <v>3631</v>
      </c>
    </row>
    <row r="333" spans="1:3" ht="11.25" customHeight="1" x14ac:dyDescent="0.3">
      <c r="A333" t="s">
        <v>2</v>
      </c>
      <c r="B333" s="12" t="s">
        <v>336</v>
      </c>
      <c r="C333" s="2">
        <v>363</v>
      </c>
    </row>
    <row r="334" spans="1:3" ht="11.25" customHeight="1" x14ac:dyDescent="0.3">
      <c r="A334" t="s">
        <v>2</v>
      </c>
      <c r="B334" s="12" t="s">
        <v>337</v>
      </c>
      <c r="C334" s="11">
        <v>3131</v>
      </c>
    </row>
    <row r="335" spans="1:3" ht="11.25" customHeight="1" x14ac:dyDescent="0.3">
      <c r="A335" t="s">
        <v>2</v>
      </c>
      <c r="B335" s="12" t="s">
        <v>338</v>
      </c>
      <c r="C335" s="2">
        <v>313</v>
      </c>
    </row>
    <row r="336" spans="1:3" ht="11.25" customHeight="1" x14ac:dyDescent="0.3">
      <c r="A336" t="s">
        <v>2</v>
      </c>
      <c r="B336" s="12" t="s">
        <v>339</v>
      </c>
      <c r="C336" s="2">
        <v>312</v>
      </c>
    </row>
    <row r="337" spans="1:3" ht="11.25" customHeight="1" x14ac:dyDescent="0.3">
      <c r="A337" t="s">
        <v>2</v>
      </c>
      <c r="B337" s="12" t="s">
        <v>340</v>
      </c>
      <c r="C337" s="2">
        <v>31432</v>
      </c>
    </row>
    <row r="338" spans="1:3" ht="11.25" customHeight="1" x14ac:dyDescent="0.3">
      <c r="A338" t="s">
        <v>2</v>
      </c>
      <c r="B338" s="12" t="s">
        <v>341</v>
      </c>
      <c r="C338" s="2">
        <v>31433</v>
      </c>
    </row>
    <row r="339" spans="1:3" ht="11.25" customHeight="1" x14ac:dyDescent="0.3">
      <c r="A339" t="s">
        <v>2</v>
      </c>
      <c r="B339" s="12" t="s">
        <v>342</v>
      </c>
      <c r="C339" s="2">
        <v>31423</v>
      </c>
    </row>
    <row r="340" spans="1:3" ht="11.25" customHeight="1" x14ac:dyDescent="0.3">
      <c r="A340" t="s">
        <v>2</v>
      </c>
      <c r="B340" s="12" t="s">
        <v>343</v>
      </c>
      <c r="C340" s="11">
        <v>31422</v>
      </c>
    </row>
    <row r="341" spans="1:3" ht="11.25" customHeight="1" x14ac:dyDescent="0.3">
      <c r="A341" t="s">
        <v>2</v>
      </c>
      <c r="B341" s="12" t="s">
        <v>344</v>
      </c>
      <c r="C341" s="2">
        <v>31421</v>
      </c>
    </row>
    <row r="342" spans="1:3" ht="11.25" customHeight="1" x14ac:dyDescent="0.3">
      <c r="A342" t="s">
        <v>2</v>
      </c>
      <c r="B342" s="12" t="s">
        <v>345</v>
      </c>
      <c r="C342" s="2">
        <v>3142</v>
      </c>
    </row>
    <row r="343" spans="1:3" ht="11.25" customHeight="1" x14ac:dyDescent="0.3">
      <c r="A343" t="s">
        <v>2</v>
      </c>
      <c r="B343" s="12" t="s">
        <v>346</v>
      </c>
      <c r="C343" s="2">
        <v>3141</v>
      </c>
    </row>
    <row r="344" spans="1:3" ht="11.25" customHeight="1" x14ac:dyDescent="0.3">
      <c r="A344" t="s">
        <v>2</v>
      </c>
      <c r="B344" s="12" t="s">
        <v>347</v>
      </c>
      <c r="C344" s="2">
        <v>3143</v>
      </c>
    </row>
    <row r="345" spans="1:3" ht="11.25" customHeight="1" x14ac:dyDescent="0.3">
      <c r="A345" t="s">
        <v>2</v>
      </c>
      <c r="B345" s="12" t="s">
        <v>348</v>
      </c>
      <c r="C345" s="2">
        <v>3362</v>
      </c>
    </row>
    <row r="346" spans="1:3" ht="11.25" customHeight="1" x14ac:dyDescent="0.3">
      <c r="A346" t="s">
        <v>2</v>
      </c>
      <c r="B346" s="12" t="s">
        <v>349</v>
      </c>
      <c r="C346" s="11">
        <v>336</v>
      </c>
    </row>
    <row r="347" spans="1:3" ht="11.25" customHeight="1" x14ac:dyDescent="0.3">
      <c r="A347" t="s">
        <v>2</v>
      </c>
      <c r="B347" s="12" t="s">
        <v>350</v>
      </c>
      <c r="C347" s="2">
        <v>335</v>
      </c>
    </row>
    <row r="348" spans="1:3" ht="11.25" customHeight="1" x14ac:dyDescent="0.3">
      <c r="A348" t="s">
        <v>2</v>
      </c>
      <c r="B348" s="12" t="s">
        <v>351</v>
      </c>
      <c r="C348" s="2">
        <v>333</v>
      </c>
    </row>
    <row r="349" spans="1:3" ht="11.25" customHeight="1" x14ac:dyDescent="0.3">
      <c r="A349" t="s">
        <v>2</v>
      </c>
      <c r="B349" s="12" t="s">
        <v>352</v>
      </c>
      <c r="C349" s="2">
        <v>331</v>
      </c>
    </row>
    <row r="350" spans="1:3" ht="11.25" customHeight="1" x14ac:dyDescent="0.3">
      <c r="A350" t="s">
        <v>2</v>
      </c>
      <c r="B350" s="12" t="s">
        <v>353</v>
      </c>
      <c r="C350" s="2">
        <v>322</v>
      </c>
    </row>
    <row r="351" spans="1:3" ht="11.25" customHeight="1" x14ac:dyDescent="0.3">
      <c r="A351" t="s">
        <v>2</v>
      </c>
      <c r="B351" s="12" t="s">
        <v>354</v>
      </c>
      <c r="C351" s="2">
        <v>323</v>
      </c>
    </row>
    <row r="352" spans="1:3" ht="12" customHeight="1" x14ac:dyDescent="0.3">
      <c r="A352" t="s">
        <v>2</v>
      </c>
      <c r="B352" s="12" t="s">
        <v>355</v>
      </c>
      <c r="C352" s="11">
        <v>321</v>
      </c>
    </row>
    <row r="353" spans="1:3" ht="12" customHeight="1" x14ac:dyDescent="0.3">
      <c r="A353" t="s">
        <v>2</v>
      </c>
      <c r="B353" s="12" t="s">
        <v>356</v>
      </c>
      <c r="C353" s="11">
        <v>351</v>
      </c>
    </row>
    <row r="354" spans="1:3" ht="12" customHeight="1" x14ac:dyDescent="0.3">
      <c r="A354" t="s">
        <v>2</v>
      </c>
      <c r="B354" s="12" t="s">
        <v>357</v>
      </c>
      <c r="C354" s="11">
        <v>31411</v>
      </c>
    </row>
    <row r="355" spans="1:3" ht="12" customHeight="1" x14ac:dyDescent="0.3">
      <c r="A355" t="s">
        <v>2</v>
      </c>
      <c r="B355" s="12" t="s">
        <v>358</v>
      </c>
      <c r="C355" s="11">
        <v>32</v>
      </c>
    </row>
    <row r="356" spans="1:3" ht="12" customHeight="1" x14ac:dyDescent="0.3">
      <c r="A356" t="s">
        <v>2</v>
      </c>
      <c r="B356" s="12" t="s">
        <v>359</v>
      </c>
      <c r="C356" s="11">
        <v>33</v>
      </c>
    </row>
    <row r="357" spans="1:3" ht="12" customHeight="1" x14ac:dyDescent="0.3">
      <c r="A357" t="s">
        <v>2</v>
      </c>
      <c r="B357" s="12" t="s">
        <v>360</v>
      </c>
      <c r="C357" s="11">
        <v>31</v>
      </c>
    </row>
    <row r="358" spans="1:3" ht="12" customHeight="1" x14ac:dyDescent="0.3">
      <c r="A358" t="s">
        <v>2</v>
      </c>
      <c r="B358" s="12" t="s">
        <v>361</v>
      </c>
      <c r="C358" s="11">
        <v>3143234</v>
      </c>
    </row>
    <row r="359" spans="1:3" ht="12" customHeight="1" x14ac:dyDescent="0.3">
      <c r="A359" t="s">
        <v>2</v>
      </c>
      <c r="B359" s="12" t="s">
        <v>362</v>
      </c>
      <c r="C359" s="11">
        <v>33223</v>
      </c>
    </row>
    <row r="360" spans="1:3" ht="12" customHeight="1" x14ac:dyDescent="0.3">
      <c r="A360" t="s">
        <v>2</v>
      </c>
      <c r="B360" s="12" t="s">
        <v>363</v>
      </c>
      <c r="C360" s="11">
        <v>314321</v>
      </c>
    </row>
    <row r="361" spans="1:3" ht="12" customHeight="1" x14ac:dyDescent="0.3">
      <c r="A361" t="s">
        <v>2</v>
      </c>
      <c r="B361" s="12" t="s">
        <v>364</v>
      </c>
      <c r="C361" s="11">
        <v>31432131</v>
      </c>
    </row>
    <row r="362" spans="1:3" ht="12" customHeight="1" x14ac:dyDescent="0.3">
      <c r="A362" t="s">
        <v>2</v>
      </c>
      <c r="B362" s="12" t="s">
        <v>365</v>
      </c>
      <c r="C362" s="11">
        <v>314311</v>
      </c>
    </row>
    <row r="363" spans="1:3" ht="12" customHeight="1" x14ac:dyDescent="0.3">
      <c r="A363" t="s">
        <v>2</v>
      </c>
      <c r="B363" s="12" t="s">
        <v>366</v>
      </c>
      <c r="C363" s="11">
        <v>314323</v>
      </c>
    </row>
    <row r="364" spans="1:3" ht="12" customHeight="1" x14ac:dyDescent="0.3">
      <c r="A364" t="s">
        <v>2</v>
      </c>
      <c r="B364" s="12" t="s">
        <v>367</v>
      </c>
      <c r="C364" s="11">
        <v>314325312</v>
      </c>
    </row>
    <row r="365" spans="1:3" ht="12" customHeight="1" x14ac:dyDescent="0.3">
      <c r="A365" t="s">
        <v>2</v>
      </c>
      <c r="B365" s="12" t="s">
        <v>368</v>
      </c>
      <c r="C365" s="11">
        <v>314325313</v>
      </c>
    </row>
    <row r="366" spans="1:3" ht="12" customHeight="1" x14ac:dyDescent="0.3">
      <c r="A366" t="s">
        <v>2</v>
      </c>
      <c r="B366" s="12" t="s">
        <v>369</v>
      </c>
      <c r="C366" s="11">
        <v>3143253123</v>
      </c>
    </row>
    <row r="367" spans="1:3" ht="12" customHeight="1" x14ac:dyDescent="0.3">
      <c r="A367" t="s">
        <v>2</v>
      </c>
      <c r="B367" s="12" t="s">
        <v>370</v>
      </c>
      <c r="C367" s="11">
        <v>31432315</v>
      </c>
    </row>
    <row r="368" spans="1:3" ht="12" customHeight="1" x14ac:dyDescent="0.3">
      <c r="A368" t="s">
        <v>2</v>
      </c>
      <c r="B368" s="12" t="s">
        <v>371</v>
      </c>
      <c r="C368" s="11">
        <v>3143252</v>
      </c>
    </row>
    <row r="369" spans="1:3" ht="12" customHeight="1" x14ac:dyDescent="0.3">
      <c r="A369" t="s">
        <v>2</v>
      </c>
      <c r="B369" s="12" t="s">
        <v>372</v>
      </c>
      <c r="C369" s="11">
        <v>3143251</v>
      </c>
    </row>
    <row r="370" spans="1:3" ht="12" customHeight="1" x14ac:dyDescent="0.3">
      <c r="A370" t="s">
        <v>2</v>
      </c>
      <c r="B370" s="12" t="s">
        <v>373</v>
      </c>
      <c r="C370" s="11">
        <v>31432311</v>
      </c>
    </row>
    <row r="371" spans="1:3" ht="12" customHeight="1" x14ac:dyDescent="0.3">
      <c r="A371" t="s">
        <v>2</v>
      </c>
      <c r="B371" s="12" t="s">
        <v>374</v>
      </c>
      <c r="C371" s="11">
        <v>314323132</v>
      </c>
    </row>
    <row r="372" spans="1:3" ht="12" customHeight="1" x14ac:dyDescent="0.3">
      <c r="A372" t="s">
        <v>2</v>
      </c>
      <c r="B372" s="12" t="s">
        <v>375</v>
      </c>
      <c r="C372" s="11">
        <v>314321313</v>
      </c>
    </row>
    <row r="373" spans="1:3" ht="12" customHeight="1" x14ac:dyDescent="0.3">
      <c r="A373" t="s">
        <v>2</v>
      </c>
      <c r="B373" s="12" t="s">
        <v>376</v>
      </c>
      <c r="C373" s="11">
        <v>314325311</v>
      </c>
    </row>
    <row r="374" spans="1:3" ht="12" customHeight="1" x14ac:dyDescent="0.3">
      <c r="A374" t="s">
        <v>2</v>
      </c>
      <c r="B374" s="12" t="s">
        <v>377</v>
      </c>
      <c r="C374" s="11">
        <v>3322</v>
      </c>
    </row>
    <row r="375" spans="1:3" ht="12" customHeight="1" x14ac:dyDescent="0.3">
      <c r="A375" t="s">
        <v>2</v>
      </c>
      <c r="B375" s="12" t="s">
        <v>378</v>
      </c>
      <c r="C375" s="11">
        <v>34</v>
      </c>
    </row>
    <row r="376" spans="1:3" ht="12" customHeight="1" x14ac:dyDescent="0.3">
      <c r="A376" t="s">
        <v>2</v>
      </c>
      <c r="B376" s="12" t="s">
        <v>379</v>
      </c>
      <c r="C376" s="13">
        <v>31213</v>
      </c>
    </row>
    <row r="377" spans="1:3" ht="12" customHeight="1" x14ac:dyDescent="0.3">
      <c r="A377" t="s">
        <v>2</v>
      </c>
      <c r="B377" s="12" t="s">
        <v>380</v>
      </c>
      <c r="C377" s="13">
        <v>311</v>
      </c>
    </row>
    <row r="378" spans="1:3" ht="12" customHeight="1" x14ac:dyDescent="0.3">
      <c r="A378" t="s">
        <v>2</v>
      </c>
      <c r="B378" s="12" t="s">
        <v>381</v>
      </c>
      <c r="C378" s="13">
        <v>332222</v>
      </c>
    </row>
    <row r="379" spans="1:3" ht="12" customHeight="1" x14ac:dyDescent="0.3">
      <c r="A379" t="s">
        <v>2</v>
      </c>
      <c r="B379" s="12" t="s">
        <v>382</v>
      </c>
      <c r="C379" s="13">
        <v>314323135</v>
      </c>
    </row>
    <row r="380" spans="1:3" ht="12" customHeight="1" x14ac:dyDescent="0.3">
      <c r="A380" t="s">
        <v>2</v>
      </c>
      <c r="B380" s="12" t="s">
        <v>383</v>
      </c>
      <c r="C380" s="13">
        <v>314323134</v>
      </c>
    </row>
    <row r="381" spans="1:3" ht="12" customHeight="1" x14ac:dyDescent="0.3">
      <c r="A381" t="s">
        <v>2</v>
      </c>
      <c r="B381" s="12" t="s">
        <v>384</v>
      </c>
      <c r="C381" s="13">
        <v>31432313</v>
      </c>
    </row>
    <row r="382" spans="1:3" ht="12" customHeight="1" x14ac:dyDescent="0.3">
      <c r="A382" t="s">
        <v>2</v>
      </c>
      <c r="B382" s="12" t="s">
        <v>385</v>
      </c>
      <c r="C382" s="13">
        <v>3363</v>
      </c>
    </row>
    <row r="383" spans="1:3" ht="12" customHeight="1" x14ac:dyDescent="0.3">
      <c r="A383" t="s">
        <v>2</v>
      </c>
      <c r="B383" s="12" t="s">
        <v>386</v>
      </c>
      <c r="C383" s="13">
        <v>3111134</v>
      </c>
    </row>
    <row r="384" spans="1:3" ht="12" customHeight="1" x14ac:dyDescent="0.3">
      <c r="A384" t="s">
        <v>2</v>
      </c>
      <c r="B384" s="12" t="s">
        <v>387</v>
      </c>
      <c r="C384" s="13">
        <v>31113</v>
      </c>
    </row>
    <row r="385" spans="1:3" ht="12" customHeight="1" x14ac:dyDescent="0.3">
      <c r="A385" t="s">
        <v>2</v>
      </c>
      <c r="B385" s="12" t="s">
        <v>388</v>
      </c>
      <c r="C385" s="13">
        <v>311111</v>
      </c>
    </row>
    <row r="386" spans="1:3" ht="12" customHeight="1" x14ac:dyDescent="0.3">
      <c r="A386" t="s">
        <v>2</v>
      </c>
      <c r="B386" s="12" t="s">
        <v>389</v>
      </c>
      <c r="C386" s="13">
        <v>31111</v>
      </c>
    </row>
    <row r="387" spans="1:3" ht="12" customHeight="1" x14ac:dyDescent="0.3">
      <c r="A387" t="s">
        <v>2</v>
      </c>
      <c r="B387" s="12" t="s">
        <v>390</v>
      </c>
      <c r="C387" s="13">
        <v>332221</v>
      </c>
    </row>
    <row r="388" spans="1:3" ht="12" customHeight="1" x14ac:dyDescent="0.3">
      <c r="A388" t="s">
        <v>2</v>
      </c>
      <c r="B388" s="12" t="s">
        <v>391</v>
      </c>
      <c r="C388" s="13">
        <v>31432531</v>
      </c>
    </row>
    <row r="389" spans="1:3" ht="12" customHeight="1" x14ac:dyDescent="0.3">
      <c r="A389" t="s">
        <v>2</v>
      </c>
      <c r="B389" s="12" t="s">
        <v>392</v>
      </c>
      <c r="C389" s="13">
        <v>3143253</v>
      </c>
    </row>
    <row r="390" spans="1:3" ht="12" customHeight="1" x14ac:dyDescent="0.3">
      <c r="A390" t="s">
        <v>2</v>
      </c>
      <c r="B390" s="12" t="s">
        <v>393</v>
      </c>
      <c r="C390" s="13">
        <v>314325</v>
      </c>
    </row>
    <row r="391" spans="1:3" ht="12" customHeight="1" x14ac:dyDescent="0.3">
      <c r="A391" t="s">
        <v>2</v>
      </c>
      <c r="B391" s="12" t="s">
        <v>394</v>
      </c>
      <c r="C391" s="13">
        <v>314322</v>
      </c>
    </row>
    <row r="392" spans="1:3" ht="12" customHeight="1" x14ac:dyDescent="0.3">
      <c r="A392" t="s">
        <v>2</v>
      </c>
      <c r="B392" s="12" t="s">
        <v>395</v>
      </c>
      <c r="C392" s="13">
        <v>314332</v>
      </c>
    </row>
    <row r="393" spans="1:3" ht="12" customHeight="1" x14ac:dyDescent="0.3">
      <c r="A393" t="s">
        <v>2</v>
      </c>
      <c r="B393" s="12" t="s">
        <v>396</v>
      </c>
      <c r="C393" s="13">
        <v>3143334</v>
      </c>
    </row>
    <row r="394" spans="1:3" ht="12" customHeight="1" x14ac:dyDescent="0.3">
      <c r="A394" t="s">
        <v>2</v>
      </c>
      <c r="B394" s="12" t="s">
        <v>397</v>
      </c>
      <c r="C394" s="13">
        <v>3143333</v>
      </c>
    </row>
    <row r="395" spans="1:3" ht="12" customHeight="1" x14ac:dyDescent="0.3">
      <c r="A395" t="s">
        <v>2</v>
      </c>
      <c r="B395" s="12" t="s">
        <v>398</v>
      </c>
      <c r="C395" s="13">
        <v>3143331</v>
      </c>
    </row>
    <row r="396" spans="1:3" ht="12" customHeight="1" x14ac:dyDescent="0.3">
      <c r="A396" t="s">
        <v>2</v>
      </c>
      <c r="B396" s="12" t="s">
        <v>399</v>
      </c>
      <c r="C396" s="13">
        <v>314333</v>
      </c>
    </row>
    <row r="397" spans="1:3" ht="12" customHeight="1" x14ac:dyDescent="0.3">
      <c r="A397" t="s">
        <v>2</v>
      </c>
      <c r="B397" s="12" t="s">
        <v>400</v>
      </c>
      <c r="C397" s="13">
        <v>41</v>
      </c>
    </row>
    <row r="398" spans="1:3" ht="12" customHeight="1" x14ac:dyDescent="0.3">
      <c r="A398" t="s">
        <v>2</v>
      </c>
      <c r="B398" s="12" t="s">
        <v>401</v>
      </c>
      <c r="C398" s="13">
        <v>44</v>
      </c>
    </row>
    <row r="399" spans="1:3" ht="12" customHeight="1" x14ac:dyDescent="0.3">
      <c r="A399" t="s">
        <v>2</v>
      </c>
      <c r="B399" s="12" t="s">
        <v>402</v>
      </c>
      <c r="C399" s="13">
        <v>4211313</v>
      </c>
    </row>
    <row r="400" spans="1:3" ht="12" customHeight="1" x14ac:dyDescent="0.3">
      <c r="A400" t="s">
        <v>2</v>
      </c>
      <c r="B400" s="12" t="s">
        <v>403</v>
      </c>
      <c r="C400" s="13">
        <v>421131</v>
      </c>
    </row>
    <row r="401" spans="1:3" ht="12" customHeight="1" x14ac:dyDescent="0.3">
      <c r="A401" t="s">
        <v>2</v>
      </c>
      <c r="B401" s="12" t="s">
        <v>404</v>
      </c>
      <c r="C401" s="13">
        <v>45</v>
      </c>
    </row>
    <row r="402" spans="1:3" ht="12" customHeight="1" x14ac:dyDescent="0.3">
      <c r="A402" t="s">
        <v>2</v>
      </c>
      <c r="B402" s="12" t="s">
        <v>405</v>
      </c>
      <c r="C402" s="13">
        <v>42113</v>
      </c>
    </row>
    <row r="403" spans="1:3" ht="12" customHeight="1" x14ac:dyDescent="0.3">
      <c r="A403" t="s">
        <v>2</v>
      </c>
      <c r="B403" s="12" t="s">
        <v>406</v>
      </c>
      <c r="C403" s="13">
        <v>4212</v>
      </c>
    </row>
    <row r="404" spans="1:3" ht="12" customHeight="1" x14ac:dyDescent="0.3">
      <c r="A404" t="s">
        <v>2</v>
      </c>
      <c r="B404" s="12" t="s">
        <v>407</v>
      </c>
      <c r="C404" s="13">
        <v>4252</v>
      </c>
    </row>
    <row r="405" spans="1:3" ht="12" customHeight="1" x14ac:dyDescent="0.3">
      <c r="A405" t="s">
        <v>2</v>
      </c>
      <c r="B405" s="12" t="s">
        <v>408</v>
      </c>
      <c r="C405" s="13">
        <v>42531</v>
      </c>
    </row>
    <row r="406" spans="1:3" ht="12" customHeight="1" x14ac:dyDescent="0.3">
      <c r="A406" t="s">
        <v>2</v>
      </c>
      <c r="B406" s="12" t="s">
        <v>409</v>
      </c>
      <c r="C406" s="13">
        <v>4253</v>
      </c>
    </row>
    <row r="407" spans="1:3" ht="12" customHeight="1" x14ac:dyDescent="0.3">
      <c r="A407" t="s">
        <v>2</v>
      </c>
      <c r="B407" s="12" t="s">
        <v>410</v>
      </c>
      <c r="C407" s="13">
        <v>4251</v>
      </c>
    </row>
    <row r="408" spans="1:3" ht="12" customHeight="1" x14ac:dyDescent="0.3">
      <c r="A408" t="s">
        <v>2</v>
      </c>
      <c r="B408" s="12" t="s">
        <v>411</v>
      </c>
      <c r="C408" s="13">
        <v>4143</v>
      </c>
    </row>
    <row r="409" spans="1:3" ht="12" customHeight="1" x14ac:dyDescent="0.3">
      <c r="A409" t="s">
        <v>2</v>
      </c>
      <c r="B409" s="12" t="s">
        <v>412</v>
      </c>
      <c r="C409" s="13">
        <v>4141</v>
      </c>
    </row>
    <row r="410" spans="1:3" ht="12" customHeight="1" x14ac:dyDescent="0.3">
      <c r="A410" t="s">
        <v>2</v>
      </c>
      <c r="B410" s="12" t="s">
        <v>413</v>
      </c>
      <c r="C410" s="13">
        <v>413</v>
      </c>
    </row>
    <row r="411" spans="1:3" ht="12" customHeight="1" x14ac:dyDescent="0.3">
      <c r="A411" t="s">
        <v>2</v>
      </c>
      <c r="B411" s="12" t="s">
        <v>414</v>
      </c>
      <c r="C411" s="13">
        <v>412</v>
      </c>
    </row>
    <row r="412" spans="1:3" ht="12" customHeight="1" x14ac:dyDescent="0.3">
      <c r="A412" t="s">
        <v>2</v>
      </c>
      <c r="B412" s="12" t="s">
        <v>415</v>
      </c>
      <c r="C412" s="13">
        <v>4321</v>
      </c>
    </row>
    <row r="413" spans="1:3" ht="12" customHeight="1" x14ac:dyDescent="0.3">
      <c r="A413" t="s">
        <v>2</v>
      </c>
      <c r="B413" s="12" t="s">
        <v>416</v>
      </c>
      <c r="C413" s="13">
        <v>42221</v>
      </c>
    </row>
    <row r="414" spans="1:3" ht="12" customHeight="1" x14ac:dyDescent="0.3">
      <c r="A414" t="s">
        <v>2</v>
      </c>
      <c r="B414" s="12" t="s">
        <v>417</v>
      </c>
      <c r="C414" s="13">
        <v>414</v>
      </c>
    </row>
    <row r="415" spans="1:3" ht="12" customHeight="1" x14ac:dyDescent="0.3">
      <c r="A415" t="s">
        <v>2</v>
      </c>
      <c r="B415" s="12" t="s">
        <v>418</v>
      </c>
      <c r="C415" s="13">
        <v>432</v>
      </c>
    </row>
    <row r="416" spans="1:3" ht="12" customHeight="1" x14ac:dyDescent="0.3">
      <c r="A416" t="s">
        <v>2</v>
      </c>
      <c r="B416" s="12" t="s">
        <v>419</v>
      </c>
      <c r="C416" s="13">
        <v>4142</v>
      </c>
    </row>
    <row r="417" spans="1:3" ht="12" customHeight="1" x14ac:dyDescent="0.3">
      <c r="A417" t="s">
        <v>2</v>
      </c>
      <c r="B417" s="12" t="s">
        <v>420</v>
      </c>
      <c r="C417" s="13">
        <v>4222</v>
      </c>
    </row>
    <row r="418" spans="1:3" ht="12" customHeight="1" x14ac:dyDescent="0.3">
      <c r="A418" t="s">
        <v>2</v>
      </c>
      <c r="B418" s="12" t="s">
        <v>421</v>
      </c>
      <c r="C418" s="13">
        <v>422</v>
      </c>
    </row>
    <row r="419" spans="1:3" ht="12" customHeight="1" x14ac:dyDescent="0.3">
      <c r="A419" t="s">
        <v>2</v>
      </c>
      <c r="B419" s="12" t="s">
        <v>422</v>
      </c>
      <c r="C419" s="13">
        <v>42111</v>
      </c>
    </row>
    <row r="420" spans="1:3" ht="12" customHeight="1" x14ac:dyDescent="0.3">
      <c r="A420" t="s">
        <v>2</v>
      </c>
      <c r="B420" s="12" t="s">
        <v>423</v>
      </c>
      <c r="C420" s="13">
        <v>425</v>
      </c>
    </row>
    <row r="421" spans="1:3" ht="12" customHeight="1" x14ac:dyDescent="0.3">
      <c r="A421" t="s">
        <v>2</v>
      </c>
      <c r="B421" s="12" t="s">
        <v>424</v>
      </c>
      <c r="C421" s="13">
        <v>4211</v>
      </c>
    </row>
    <row r="422" spans="1:3" ht="12" customHeight="1" x14ac:dyDescent="0.3">
      <c r="A422" t="s">
        <v>2</v>
      </c>
      <c r="B422" s="12" t="s">
        <v>425</v>
      </c>
      <c r="C422" s="13">
        <v>42</v>
      </c>
    </row>
    <row r="423" spans="1:3" ht="12" customHeight="1" x14ac:dyDescent="0.3">
      <c r="A423" t="s">
        <v>2</v>
      </c>
      <c r="B423" s="12" t="s">
        <v>426</v>
      </c>
      <c r="C423" s="13">
        <v>43</v>
      </c>
    </row>
    <row r="424" spans="1:3" ht="12" customHeight="1" x14ac:dyDescent="0.3">
      <c r="A424" t="s">
        <v>2</v>
      </c>
      <c r="B424" s="12" t="s">
        <v>427</v>
      </c>
      <c r="C424" s="13">
        <v>46</v>
      </c>
    </row>
    <row r="425" spans="1:3" ht="12" customHeight="1" x14ac:dyDescent="0.3">
      <c r="A425" t="s">
        <v>2</v>
      </c>
      <c r="B425" s="12" t="s">
        <v>428</v>
      </c>
      <c r="C425" s="13">
        <v>421</v>
      </c>
    </row>
    <row r="426" spans="1:3" ht="12" customHeight="1" x14ac:dyDescent="0.3">
      <c r="A426" t="s">
        <v>2</v>
      </c>
      <c r="B426" s="12" t="s">
        <v>429</v>
      </c>
      <c r="C426" s="13">
        <v>422214</v>
      </c>
    </row>
    <row r="427" spans="1:3" ht="12" customHeight="1" x14ac:dyDescent="0.3">
      <c r="A427" t="s">
        <v>2</v>
      </c>
      <c r="B427" s="12" t="s">
        <v>430</v>
      </c>
      <c r="C427" s="13">
        <v>42223</v>
      </c>
    </row>
    <row r="428" spans="1:3" ht="12" customHeight="1" x14ac:dyDescent="0.3">
      <c r="A428" t="s">
        <v>2</v>
      </c>
      <c r="B428" s="12" t="s">
        <v>431</v>
      </c>
      <c r="C428" s="13">
        <v>422212</v>
      </c>
    </row>
    <row r="429" spans="1:3" ht="12" customHeight="1" x14ac:dyDescent="0.3">
      <c r="A429" t="s">
        <v>2</v>
      </c>
      <c r="B429" s="12" t="s">
        <v>432</v>
      </c>
      <c r="C429" s="13">
        <v>42224</v>
      </c>
    </row>
    <row r="430" spans="1:3" ht="12" customHeight="1" x14ac:dyDescent="0.3">
      <c r="A430" t="s">
        <v>2</v>
      </c>
      <c r="B430" s="12" t="s">
        <v>433</v>
      </c>
      <c r="C430" s="13">
        <v>422213</v>
      </c>
    </row>
    <row r="431" spans="1:3" ht="12" customHeight="1" x14ac:dyDescent="0.3">
      <c r="A431" t="s">
        <v>2</v>
      </c>
      <c r="B431" s="12" t="s">
        <v>434</v>
      </c>
      <c r="C431" s="13">
        <v>422211</v>
      </c>
    </row>
    <row r="432" spans="1:3" ht="12" customHeight="1" x14ac:dyDescent="0.3">
      <c r="A432" t="s">
        <v>2</v>
      </c>
      <c r="B432" s="12" t="s">
        <v>435</v>
      </c>
      <c r="C432" s="13">
        <v>42222</v>
      </c>
    </row>
    <row r="433" spans="1:3" ht="12" customHeight="1" x14ac:dyDescent="0.3">
      <c r="A433" t="s">
        <v>2</v>
      </c>
      <c r="B433" s="12" t="s">
        <v>436</v>
      </c>
      <c r="C433" s="13">
        <v>4222134</v>
      </c>
    </row>
    <row r="434" spans="1:3" ht="12" customHeight="1" x14ac:dyDescent="0.3">
      <c r="A434" t="s">
        <v>2</v>
      </c>
      <c r="B434" s="12" t="s">
        <v>437</v>
      </c>
      <c r="C434" s="13">
        <v>4222131</v>
      </c>
    </row>
    <row r="435" spans="1:3" ht="12" customHeight="1" x14ac:dyDescent="0.3">
      <c r="A435" t="s">
        <v>2</v>
      </c>
      <c r="B435" s="12" t="s">
        <v>438</v>
      </c>
      <c r="C435" s="13">
        <v>4222133</v>
      </c>
    </row>
    <row r="436" spans="1:3" ht="11.25" customHeight="1" x14ac:dyDescent="0.3">
      <c r="A436" t="s">
        <v>2</v>
      </c>
      <c r="B436" s="12" t="s">
        <v>439</v>
      </c>
      <c r="C436" s="13">
        <v>1132231</v>
      </c>
    </row>
    <row r="437" spans="1:3" ht="11.25" customHeight="1" x14ac:dyDescent="0.3">
      <c r="A437" t="s">
        <v>2</v>
      </c>
      <c r="B437" s="12" t="s">
        <v>440</v>
      </c>
      <c r="C437" s="13">
        <v>314</v>
      </c>
    </row>
    <row r="438" spans="1:3" ht="11.25" customHeight="1" x14ac:dyDescent="0.3">
      <c r="A438" t="s">
        <v>2</v>
      </c>
      <c r="B438" s="12" t="s">
        <v>441</v>
      </c>
      <c r="C438" s="13">
        <v>332</v>
      </c>
    </row>
  </sheetData>
  <conditionalFormatting sqref="B2:B439">
    <cfRule type="cellIs" dxfId="15" priority="4" operator="notBetween">
      <formula>1</formula>
      <formula>500</formula>
    </cfRule>
  </conditionalFormatting>
  <conditionalFormatting sqref="C6:C438">
    <cfRule type="expression" dxfId="14" priority="18">
      <formula>(COUNTIF(#REF!,$C6))&lt;1</formula>
    </cfRule>
    <cfRule type="expression" dxfId="13" priority="19">
      <formula>#REF!&lt;&gt;""</formula>
    </cfRule>
    <cfRule type="notContainsBlanks" dxfId="12" priority="20">
      <formula>LEN(TRIM(C6))&gt;0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J26"/>
  <sheetViews>
    <sheetView workbookViewId="0"/>
  </sheetViews>
  <sheetFormatPr defaultColWidth="14.3984375" defaultRowHeight="15" customHeight="1" x14ac:dyDescent="0.3"/>
  <cols>
    <col min="1" max="1" width="9.09765625" customWidth="1"/>
    <col min="2" max="2" width="2.69921875" customWidth="1"/>
    <col min="3" max="3" width="17.3984375" customWidth="1"/>
    <col min="4" max="4" width="12.69921875" customWidth="1"/>
    <col min="5" max="5" width="2.69921875" customWidth="1"/>
    <col min="6" max="6" width="9.09765625" customWidth="1"/>
    <col min="7" max="7" width="2.69921875" customWidth="1"/>
    <col min="8" max="8" width="9.09765625" customWidth="1"/>
    <col min="9" max="9" width="2.69921875" customWidth="1"/>
    <col min="10" max="10" width="9.09765625" customWidth="1"/>
    <col min="11" max="26" width="8" customWidth="1"/>
  </cols>
  <sheetData>
    <row r="2" spans="3:8" ht="15" customHeight="1" x14ac:dyDescent="0.3">
      <c r="C2" s="86" t="s">
        <v>442</v>
      </c>
      <c r="D2" s="83"/>
      <c r="E2" s="14"/>
      <c r="F2" s="87">
        <f ca="1">TODAY()</f>
        <v>45672</v>
      </c>
      <c r="G2" s="85"/>
      <c r="H2" s="84"/>
    </row>
    <row r="3" spans="3:8" ht="11.25" customHeight="1" x14ac:dyDescent="0.3">
      <c r="C3" s="14"/>
      <c r="D3" s="14"/>
      <c r="E3" s="14"/>
      <c r="F3" s="14"/>
      <c r="G3" s="14"/>
      <c r="H3" s="14"/>
    </row>
    <row r="4" spans="3:8" ht="12" customHeight="1" x14ac:dyDescent="0.3">
      <c r="C4" s="14"/>
      <c r="D4" s="14"/>
      <c r="E4" s="14"/>
      <c r="F4" s="14"/>
      <c r="G4" s="14"/>
      <c r="H4" s="14"/>
    </row>
    <row r="5" spans="3:8" ht="11.25" customHeight="1" x14ac:dyDescent="0.3">
      <c r="C5" s="15"/>
      <c r="D5" s="15"/>
      <c r="E5" s="15"/>
      <c r="F5" s="15"/>
      <c r="G5" s="15"/>
      <c r="H5" s="15"/>
    </row>
    <row r="6" spans="3:8" ht="15" customHeight="1" x14ac:dyDescent="0.3">
      <c r="C6" s="16" t="s">
        <v>443</v>
      </c>
      <c r="D6" s="17"/>
      <c r="E6" s="14"/>
      <c r="F6" s="88" t="s">
        <v>444</v>
      </c>
      <c r="G6" s="89"/>
      <c r="H6" s="90"/>
    </row>
    <row r="7" spans="3:8" ht="11.25" customHeight="1" x14ac:dyDescent="0.3">
      <c r="C7" s="18"/>
      <c r="D7" s="14"/>
      <c r="E7" s="14"/>
      <c r="F7" s="91"/>
      <c r="G7" s="92"/>
      <c r="H7" s="93"/>
    </row>
    <row r="8" spans="3:8" ht="15" customHeight="1" x14ac:dyDescent="0.3">
      <c r="C8" s="16" t="s">
        <v>445</v>
      </c>
      <c r="D8" s="1">
        <v>2</v>
      </c>
      <c r="E8" s="14"/>
      <c r="F8" s="94"/>
      <c r="G8" s="95"/>
      <c r="H8" s="96"/>
    </row>
    <row r="9" spans="3:8" ht="11.25" customHeight="1" x14ac:dyDescent="0.3">
      <c r="C9" s="19"/>
      <c r="D9" s="20"/>
      <c r="E9" s="21"/>
      <c r="F9" s="22"/>
      <c r="G9" s="22"/>
      <c r="H9" s="22"/>
    </row>
    <row r="10" spans="3:8" ht="15" customHeight="1" x14ac:dyDescent="0.3">
      <c r="C10" s="16"/>
      <c r="D10" s="23"/>
      <c r="E10" s="14"/>
      <c r="F10" s="24"/>
      <c r="G10" s="24"/>
      <c r="H10" s="24"/>
    </row>
    <row r="11" spans="3:8" ht="11.25" customHeight="1" x14ac:dyDescent="0.3">
      <c r="C11" s="25"/>
      <c r="D11" s="26"/>
      <c r="E11" s="26"/>
      <c r="F11" s="26"/>
      <c r="G11" s="26"/>
      <c r="H11" s="26"/>
    </row>
    <row r="12" spans="3:8" ht="15" customHeight="1" x14ac:dyDescent="0.3">
      <c r="C12" s="28" t="s">
        <v>446</v>
      </c>
      <c r="D12" s="29" t="e">
        <f>IF(D8&lt;&gt;0,(VLOOKUP(D8,CTF!$B$2:$C$193,2,FALSE)),D6)</f>
        <v>#N/A</v>
      </c>
      <c r="E12" s="30"/>
      <c r="F12" s="31" t="e">
        <f>IF(COUNTIF(CTF!#REF!,D12)=1,"VALID","NOT VALID")</f>
        <v>#REF!</v>
      </c>
      <c r="G12" s="30"/>
      <c r="H12" s="32"/>
    </row>
    <row r="13" spans="3:8" ht="11.25" customHeight="1" x14ac:dyDescent="0.3">
      <c r="C13" s="34"/>
      <c r="D13" s="35"/>
      <c r="E13" s="35"/>
      <c r="F13" s="35"/>
      <c r="G13" s="35"/>
      <c r="H13" s="35"/>
    </row>
    <row r="14" spans="3:8" ht="15" customHeight="1" x14ac:dyDescent="0.3">
      <c r="C14" s="28" t="s">
        <v>447</v>
      </c>
      <c r="D14" s="37" t="e">
        <f t="array" ref="D14">INDEX(CTF!#REF!,MATCH(TRUE,MMULT(--(CTF!#REF!=D12),TRANSPOSE(COLUMN(CTF!#REF!)^0))&gt;0,0))</f>
        <v>#REF!</v>
      </c>
      <c r="E14" s="30"/>
      <c r="F14" s="38" t="e">
        <f ca="1">IF(D14&lt;F2,"EXPIRED","VALID")</f>
        <v>#REF!</v>
      </c>
      <c r="G14" s="30"/>
      <c r="H14" s="32"/>
    </row>
    <row r="18" spans="3:10" ht="11.25" customHeight="1" x14ac:dyDescent="0.3">
      <c r="C18" s="39" t="s">
        <v>448</v>
      </c>
      <c r="D18" s="35"/>
      <c r="E18" s="35"/>
      <c r="F18" s="35"/>
      <c r="G18" s="35"/>
      <c r="H18" s="35"/>
      <c r="I18" s="36"/>
      <c r="J18" s="14"/>
    </row>
    <row r="19" spans="3:10" ht="11.25" customHeight="1" x14ac:dyDescent="0.3">
      <c r="C19" s="39"/>
      <c r="D19" s="35"/>
      <c r="E19" s="35"/>
      <c r="F19" s="35"/>
      <c r="G19" s="35"/>
      <c r="H19" s="35"/>
      <c r="I19" s="36"/>
      <c r="J19" s="14"/>
    </row>
    <row r="20" spans="3:10" ht="15" customHeight="1" x14ac:dyDescent="0.3">
      <c r="C20" s="35" t="s">
        <v>449</v>
      </c>
      <c r="D20" s="40">
        <v>6</v>
      </c>
      <c r="E20" s="35"/>
      <c r="F20" s="35"/>
      <c r="G20" s="35"/>
      <c r="H20" s="35"/>
      <c r="I20" s="36"/>
      <c r="J20" s="14"/>
    </row>
    <row r="21" spans="3:10" ht="11.25" customHeight="1" x14ac:dyDescent="0.3">
      <c r="C21" s="35"/>
      <c r="D21" s="35"/>
      <c r="E21" s="35"/>
      <c r="F21" s="35"/>
      <c r="G21" s="35"/>
      <c r="H21" s="35"/>
      <c r="I21" s="36"/>
      <c r="J21" s="14" t="s">
        <v>0</v>
      </c>
    </row>
    <row r="22" spans="3:10" ht="15" customHeight="1" x14ac:dyDescent="0.3">
      <c r="C22" s="30" t="s">
        <v>450</v>
      </c>
      <c r="D22" s="41">
        <f>IF(AND(D20&gt;=1,D20&lt;=3),INT(D12&amp;1),0)</f>
        <v>0</v>
      </c>
      <c r="E22" s="30"/>
      <c r="F22" s="38" t="str">
        <f>IF(D22&gt;0,IF((COUNTIF(CTF!$C$2:$C$193,D22))=1,"RET","NOT RET"),"NONE")</f>
        <v>NONE</v>
      </c>
      <c r="G22" s="30"/>
      <c r="H22" s="38" t="str">
        <f>IF(D22&gt;0,IF(VLOOKUP(D22,CTF!$C$2:$C$193,2,FALSE),"EL","NOT EL"),"")</f>
        <v/>
      </c>
      <c r="I22" s="33"/>
      <c r="J22" s="27"/>
    </row>
    <row r="23" spans="3:10" ht="11.25" customHeight="1" x14ac:dyDescent="0.3">
      <c r="C23" s="35"/>
      <c r="D23" s="34"/>
      <c r="E23" s="35"/>
      <c r="F23" s="42"/>
      <c r="G23" s="35"/>
      <c r="H23" s="42"/>
      <c r="I23" s="36"/>
      <c r="J23" s="14"/>
    </row>
    <row r="24" spans="3:10" ht="15" customHeight="1" x14ac:dyDescent="0.3">
      <c r="C24" s="30" t="s">
        <v>451</v>
      </c>
      <c r="D24" s="41">
        <f>IF(AND(D20&gt;=2,D20&lt;=3),INT(D12&amp;2),0)</f>
        <v>0</v>
      </c>
      <c r="E24" s="30"/>
      <c r="F24" s="38" t="str">
        <f>IF(D24&gt;0,IF((COUNTIF(CTF!$C$2:$C$193,D24))=1,"RET","NOT RET"),"NONE")</f>
        <v>NONE</v>
      </c>
      <c r="G24" s="30"/>
      <c r="H24" s="38" t="str">
        <f>IF(D24&gt;0,IF(VLOOKUP(D24,CTF!$C$2:$C$193,2,FALSE),"EL","NOT EL"),"")</f>
        <v/>
      </c>
      <c r="I24" s="33"/>
      <c r="J24" s="27"/>
    </row>
    <row r="25" spans="3:10" ht="11.25" customHeight="1" x14ac:dyDescent="0.3">
      <c r="C25" s="35"/>
      <c r="D25" s="34"/>
      <c r="E25" s="35"/>
      <c r="F25" s="42"/>
      <c r="G25" s="35"/>
      <c r="H25" s="42"/>
      <c r="I25" s="36"/>
      <c r="J25" s="14"/>
    </row>
    <row r="26" spans="3:10" ht="15" customHeight="1" x14ac:dyDescent="0.3">
      <c r="C26" s="30" t="s">
        <v>452</v>
      </c>
      <c r="D26" s="41">
        <f>IF(AND(D20&gt;2,D20&lt;=3),INT(D12&amp;3),0)</f>
        <v>0</v>
      </c>
      <c r="E26" s="30"/>
      <c r="F26" s="38" t="str">
        <f>IF(D26&gt;0,IF((COUNTIF(CTF!$C$2:$C$193,D26))=1,"RET","NOT RET"),"NONE")</f>
        <v>NONE</v>
      </c>
      <c r="G26" s="30"/>
      <c r="H26" s="38" t="str">
        <f>IF(D26&gt;0,IF(VLOOKUP(D26,CTF!$C$2:$C$193,2,FALSE),"EL","NOT EL"),"")</f>
        <v/>
      </c>
      <c r="I26" s="33"/>
      <c r="J26" s="27"/>
    </row>
  </sheetData>
  <mergeCells count="3">
    <mergeCell ref="C2:D2"/>
    <mergeCell ref="F2:H2"/>
    <mergeCell ref="F6:H8"/>
  </mergeCells>
  <conditionalFormatting sqref="D8">
    <cfRule type="cellIs" dxfId="11" priority="1" operator="notBetween">
      <formula>1000</formula>
      <formula>9999</formula>
    </cfRule>
  </conditionalFormatting>
  <conditionalFormatting sqref="D22">
    <cfRule type="expression" dxfId="10" priority="8">
      <formula>AND($F$22="RET",$H$22="EL")</formula>
    </cfRule>
  </conditionalFormatting>
  <conditionalFormatting sqref="D24">
    <cfRule type="expression" dxfId="9" priority="9">
      <formula>AND($F$24="RET",$H$24="EL")</formula>
    </cfRule>
  </conditionalFormatting>
  <conditionalFormatting sqref="D26">
    <cfRule type="expression" dxfId="8" priority="10">
      <formula>AND($F$26="RET",$H$26="EL")</formula>
    </cfRule>
  </conditionalFormatting>
  <conditionalFormatting sqref="F14">
    <cfRule type="expression" dxfId="7" priority="6">
      <formula>$F$14="VALID"</formula>
    </cfRule>
    <cfRule type="expression" dxfId="6" priority="7">
      <formula>$F$14="EXPIRED"</formula>
    </cfRule>
  </conditionalFormatting>
  <conditionalFormatting sqref="F22 F24 F26">
    <cfRule type="expression" dxfId="5" priority="2">
      <formula>$F22="RET"</formula>
    </cfRule>
    <cfRule type="expression" dxfId="4" priority="3">
      <formula>$F22="NOT RET"</formula>
    </cfRule>
  </conditionalFormatting>
  <conditionalFormatting sqref="H22 H24 H26">
    <cfRule type="expression" dxfId="3" priority="4">
      <formula>$H22="EL"</formula>
    </cfRule>
    <cfRule type="expression" dxfId="2" priority="5">
      <formula>$H22="NOT EL"</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X19"/>
  <sheetViews>
    <sheetView workbookViewId="0">
      <selection activeCell="I27" sqref="I27"/>
    </sheetView>
  </sheetViews>
  <sheetFormatPr defaultColWidth="14.3984375" defaultRowHeight="15" customHeight="1" x14ac:dyDescent="0.3"/>
  <cols>
    <col min="1" max="1" width="2.69921875" customWidth="1"/>
    <col min="2" max="2" width="4.69921875" customWidth="1"/>
    <col min="3" max="6" width="8.3984375" customWidth="1"/>
    <col min="7" max="7" width="3.3984375" customWidth="1"/>
    <col min="8" max="21" width="4.296875" customWidth="1"/>
    <col min="22" max="22" width="5.69921875" customWidth="1"/>
    <col min="23" max="24" width="9.09765625" customWidth="1"/>
    <col min="25" max="26" width="8" customWidth="1"/>
  </cols>
  <sheetData>
    <row r="2" spans="2:24" ht="12.75" customHeight="1" x14ac:dyDescent="0.3">
      <c r="B2" s="44" t="s">
        <v>453</v>
      </c>
      <c r="C2" s="44"/>
      <c r="D2" s="44"/>
      <c r="E2" s="44"/>
      <c r="F2" s="44"/>
      <c r="G2" s="44"/>
      <c r="H2" s="3"/>
      <c r="I2" s="3"/>
      <c r="J2" s="3"/>
      <c r="K2" s="3"/>
      <c r="L2" s="3"/>
      <c r="M2" s="3"/>
      <c r="N2" s="3"/>
      <c r="O2" s="3"/>
      <c r="P2" s="3"/>
      <c r="Q2" s="3"/>
      <c r="R2" s="3"/>
      <c r="S2" s="3"/>
      <c r="T2" s="3"/>
      <c r="U2" s="3"/>
      <c r="V2" s="43"/>
      <c r="W2" s="3"/>
      <c r="X2" s="3"/>
    </row>
    <row r="3" spans="2:24" ht="11.25" customHeight="1" x14ac:dyDescent="0.3">
      <c r="B3" s="3"/>
      <c r="C3" s="3"/>
      <c r="D3" s="3"/>
      <c r="E3" s="3"/>
      <c r="F3" s="3"/>
      <c r="G3" s="3"/>
      <c r="H3" s="3"/>
      <c r="I3" s="3"/>
      <c r="J3" s="3"/>
      <c r="K3" s="3"/>
      <c r="L3" s="3"/>
      <c r="M3" s="3"/>
      <c r="N3" s="3"/>
      <c r="O3" s="3"/>
      <c r="P3" s="3"/>
      <c r="Q3" s="3"/>
      <c r="R3" s="3"/>
      <c r="S3" s="3"/>
      <c r="T3" s="3"/>
      <c r="U3" s="3"/>
      <c r="V3" s="43"/>
      <c r="W3" s="3"/>
      <c r="X3" s="3"/>
    </row>
    <row r="4" spans="2:24" ht="12" customHeight="1" x14ac:dyDescent="0.3">
      <c r="B4" s="3" t="s">
        <v>454</v>
      </c>
      <c r="C4" s="3"/>
      <c r="D4" s="3"/>
      <c r="E4" s="3"/>
      <c r="F4" s="3"/>
      <c r="G4" s="3" t="s">
        <v>455</v>
      </c>
      <c r="H4" s="3"/>
      <c r="I4" s="3"/>
      <c r="J4" s="3"/>
      <c r="K4" s="3"/>
      <c r="L4" s="3"/>
      <c r="M4" s="3"/>
      <c r="N4" s="3"/>
      <c r="O4" s="3"/>
      <c r="P4" s="3"/>
      <c r="Q4" s="3"/>
      <c r="R4" s="3"/>
      <c r="S4" s="3"/>
      <c r="T4" s="3"/>
      <c r="U4" s="3"/>
      <c r="V4" s="43"/>
      <c r="W4" s="3"/>
      <c r="X4" s="3"/>
    </row>
    <row r="5" spans="2:24" ht="34.5" customHeight="1" x14ac:dyDescent="0.3">
      <c r="B5" s="45" t="s">
        <v>456</v>
      </c>
      <c r="C5" s="46" t="s">
        <v>457</v>
      </c>
      <c r="D5" s="46" t="s">
        <v>458</v>
      </c>
      <c r="E5" s="46" t="s">
        <v>459</v>
      </c>
      <c r="F5" s="47" t="s">
        <v>460</v>
      </c>
      <c r="G5" s="48" t="s">
        <v>461</v>
      </c>
      <c r="H5" s="49" t="s">
        <v>462</v>
      </c>
      <c r="I5" s="50" t="s">
        <v>463</v>
      </c>
      <c r="J5" s="50" t="s">
        <v>464</v>
      </c>
      <c r="K5" s="50" t="s">
        <v>465</v>
      </c>
      <c r="L5" s="50" t="s">
        <v>466</v>
      </c>
      <c r="M5" s="50" t="s">
        <v>467</v>
      </c>
      <c r="N5" s="50" t="s">
        <v>468</v>
      </c>
      <c r="O5" s="50" t="s">
        <v>469</v>
      </c>
      <c r="P5" s="50" t="s">
        <v>470</v>
      </c>
      <c r="Q5" s="50" t="s">
        <v>471</v>
      </c>
      <c r="R5" s="50" t="s">
        <v>472</v>
      </c>
      <c r="S5" s="50" t="s">
        <v>473</v>
      </c>
      <c r="T5" s="50" t="s">
        <v>474</v>
      </c>
      <c r="U5" s="50" t="s">
        <v>475</v>
      </c>
      <c r="V5" s="51" t="s">
        <v>476</v>
      </c>
      <c r="W5" s="3"/>
      <c r="X5" s="3"/>
    </row>
    <row r="6" spans="2:24" ht="11.25" customHeight="1" x14ac:dyDescent="0.3">
      <c r="B6" s="52">
        <v>1</v>
      </c>
      <c r="C6" s="43" t="e">
        <f>SUMPRODUCT(--(LEFT(CTF!#REF!)="1"))</f>
        <v>#REF!</v>
      </c>
      <c r="D6" s="43">
        <f>SUMPRODUCT(--(LEFT(CTF!C6:C435)="1"))</f>
        <v>105</v>
      </c>
      <c r="E6" s="43" t="e">
        <f>SUMPRODUCT(--(LEFT(CTF!$C$6:$C$435)="1"),--((CTF!#REF!)=0))</f>
        <v>#REF!</v>
      </c>
      <c r="F6" s="43" t="e">
        <f t="shared" ref="F6:F14" si="0">(C6-D6)-E6</f>
        <v>#REF!</v>
      </c>
      <c r="G6" s="53">
        <f>SUMPRODUCT(--(LEFT(CTF!$C$2:$C$5)="2"))</f>
        <v>1</v>
      </c>
      <c r="H6" s="54">
        <f>SUMPRODUCT(--(LEFT(CTF!$C$6:$C$435)="1"),--((CTF!$C$6:$C$435)&gt;10),--((CTF!$C$6:$C$435)&lt;99))</f>
        <v>4</v>
      </c>
      <c r="I6" s="55">
        <f>SUMPRODUCT(--(LEFT(CTF!$C$6:$C$435)="1"),--((CTF!$C$6:$C$435)&gt;100),--((CTF!$C$6:$C$435)&lt;999))</f>
        <v>8</v>
      </c>
      <c r="J6" s="55">
        <f>SUMPRODUCT(--(LEFT(CTF!$C$6:$C$435)="1"),--((CTF!$C$6:$C$435)&gt;1000),--((CTF!$C$6:$C$435)&lt;9999))</f>
        <v>7</v>
      </c>
      <c r="K6" s="55">
        <f>SUMPRODUCT(--(LEFT(CTF!$C$6:$C$435)="1"),--((CTF!$C$6:$C$435)&gt;10000),--((CTF!$C$6:$C$435)&lt;99999))</f>
        <v>13</v>
      </c>
      <c r="L6" s="55">
        <f>SUMPRODUCT(--(LEFT(CTF!$C$6:$C$435)="1"),--((CTF!$C$6:$C$435)&gt;100000),--((CTF!$C$6:$C$435)&lt;999999))</f>
        <v>18</v>
      </c>
      <c r="M6" s="55">
        <f>SUMPRODUCT(--(LEFT(CTF!$C$6:$C$435)="1"),--((CTF!$C$6:$C$435)&gt;1000000),--((CTF!$C$6:$C$435)&lt;9999999))</f>
        <v>16</v>
      </c>
      <c r="N6" s="55">
        <f>SUMPRODUCT(--(LEFT(CTF!$C$6:$C$435)="1"),--((CTF!$C$6:$C$435)&gt;10000000),--((CTF!$C$6:$C$435)&lt;99999999))</f>
        <v>17</v>
      </c>
      <c r="O6" s="55">
        <f>SUMPRODUCT(--(LEFT(CTF!$C$6:$C$435)="1"),--((CTF!$C$6:$C$435)&gt;100000000),--((CTF!$C$6:$C$435)&lt;999999999))</f>
        <v>11</v>
      </c>
      <c r="P6" s="55">
        <f>SUMPRODUCT(--(LEFT(CTF!$C$6:$C$435)="1"),--((CTF!$C$6:$C$435)&gt;1000000000),--((CTF!$C$6:$C$435)&lt;9999999999))</f>
        <v>9</v>
      </c>
      <c r="Q6" s="55">
        <f>SUMPRODUCT(--(LEFT(CTF!$C$6:$C$435)="1"),--((CTF!$C$6:$C$435)&gt;10000000000),--((CTF!$C$6:$C$435)&lt;99999999999))</f>
        <v>2</v>
      </c>
      <c r="R6" s="55">
        <f>SUMPRODUCT(--(LEFT(CTF!$C$6:$C$193)="1"),--((CTF!$C$6:$C$193)&gt;100000000000),--((CTF!$C$6:$C$193)&lt;999999999999))</f>
        <v>0</v>
      </c>
      <c r="S6" s="55">
        <f>SUMPRODUCT(--(LEFT(CTF!$C$6:$C$193)="1"),--((CTF!$C$6:$C$193)&gt;1000000000000),--((CTF!$C$6:$C$193)&lt;9999999999999))</f>
        <v>0</v>
      </c>
      <c r="T6" s="55">
        <f>SUMPRODUCT(--(LEFT(CTF!$C$6:$C$193)="1"),--((CTF!$C$6:$C$193)&gt;10000000000000),--((CTF!$C$6:$C$193)&lt;99999999999999))</f>
        <v>0</v>
      </c>
      <c r="U6" s="56">
        <f>SUMPRODUCT(--(LEFT(CTF!$C$6:$C$193)="1"),--((CTF!$C$6:$C$193)&gt;100000000000000),--((CTF!$C$6:$C$193)&lt;1000000000000000))</f>
        <v>0</v>
      </c>
      <c r="V6" s="57">
        <f t="shared" ref="V6:V14" si="1">SUM(H6:U6)</f>
        <v>105</v>
      </c>
      <c r="W6" s="58"/>
      <c r="X6" s="3"/>
    </row>
    <row r="7" spans="2:24" ht="11.25" customHeight="1" x14ac:dyDescent="0.3">
      <c r="B7" s="52">
        <v>2</v>
      </c>
      <c r="C7" s="43" t="e">
        <f>SUMPRODUCT(--(LEFT(CTF!#REF!)="2"))</f>
        <v>#REF!</v>
      </c>
      <c r="D7" s="43">
        <f>SUMPRODUCT(--(LEFT(CTF!C6:C435)="2"))</f>
        <v>179</v>
      </c>
      <c r="E7" s="43" t="e">
        <f>SUMPRODUCT(--(LEFT(CTF!$C$6:$C$249)="2"),--((CTF!#REF!)=0))</f>
        <v>#REF!</v>
      </c>
      <c r="F7" s="43" t="e">
        <f t="shared" si="0"/>
        <v>#REF!</v>
      </c>
      <c r="G7" s="53">
        <f>SUMPRODUCT(--(LEFT(CTF!$C$2:$C$5)="2"))</f>
        <v>1</v>
      </c>
      <c r="H7" s="59">
        <f>SUMPRODUCT(--(LEFT(CTF!$C$6:$C$435)="2"),--((CTF!$C$6:$C$435)&gt;10),--((CTF!$C$6:$C$435)&lt;99))</f>
        <v>4</v>
      </c>
      <c r="I7" s="43">
        <f>SUMPRODUCT(--(LEFT(CTF!$C$6:$C$435)="2"),--((CTF!$C$6:$C$435)&gt;100),--((CTF!$C$6:$C$435)&lt;999))</f>
        <v>11</v>
      </c>
      <c r="J7" s="43">
        <f>SUMPRODUCT(--(LEFT(CTF!$C$6:$C$435)="2"),--((CTF!$C$6:$C$435)&gt;1000),--((CTF!$C$6:$C$435)&lt;9999))</f>
        <v>14</v>
      </c>
      <c r="K7" s="43">
        <f>SUMPRODUCT(--(LEFT(CTF!$C$6:$C$435)="2"),--((CTF!$C$6:$C$435)&gt;10000),--((CTF!$C$6:$C$435)&lt;99999))</f>
        <v>15</v>
      </c>
      <c r="L7" s="43">
        <f>SUMPRODUCT(--(LEFT(CTF!$C$6:$C$435)="2"),--((CTF!$C$6:$C$435)&gt;100000),--((CTF!$C$6:$C$435)&lt;999999))</f>
        <v>22</v>
      </c>
      <c r="M7" s="43">
        <f>SUMPRODUCT(--(LEFT(CTF!$C$6:$C$435)="2"),--((CTF!$C$6:$C$435)&gt;1000000),--((CTF!$C$6:$C$435)&lt;9999999))</f>
        <v>27</v>
      </c>
      <c r="N7" s="43">
        <f>SUMPRODUCT(--(LEFT(CTF!$C$6:$C$435)="2"),--((CTF!$C$6:$C$435)&gt;10000000),--((CTF!$C$6:$C$435)&lt;99999999))</f>
        <v>41</v>
      </c>
      <c r="O7" s="43">
        <f>SUMPRODUCT(--(LEFT(CTF!$C$6:$C$435)="2"),--((CTF!$C$6:$C$435)&gt;100000000),--((CTF!$C$6:$C$435)&lt;999999999))</f>
        <v>17</v>
      </c>
      <c r="P7" s="43">
        <f>SUMPRODUCT(--(LEFT(CTF!$C$6:$C$435)="2"),--((CTF!$C$6:$C$435)&gt;1000000000),--((CTF!$C$6:$C$435)&lt;9999999999))</f>
        <v>12</v>
      </c>
      <c r="Q7" s="43">
        <f>SUMPRODUCT(--(LEFT(CTF!$C$6:$C$435)="2"),--((CTF!$C$6:$C$435)&gt;10000000000),--((CTF!$C$6:$C$435)&lt;99999999999))</f>
        <v>10</v>
      </c>
      <c r="R7" s="43">
        <f>SUMPRODUCT(--(LEFT(CTF!$C$6:$C$193)="2"),--((CTF!$C$6:$C$193)&gt;100000000000),--((CTF!$C$6:$C$193)&lt;999999999999))</f>
        <v>3</v>
      </c>
      <c r="S7" s="43">
        <f>SUMPRODUCT(--(LEFT(CTF!$C$6:$C$193)="2"),--((CTF!$C$6:$C$193)&gt;1000000000000),--((CTF!$C$6:$C$193)&lt;9999999999999))</f>
        <v>0</v>
      </c>
      <c r="T7" s="43">
        <f>SUMPRODUCT(--(LEFT(CTF!$C$6:$C$193)="2"),--((CTF!$C$6:$C$193)&gt;10000000000000),--((CTF!$C$6:$C$193)&lt;99999999999999))</f>
        <v>0</v>
      </c>
      <c r="U7" s="60">
        <f>SUMPRODUCT(--(LEFT(CTF!$C$6:$C$193)="2"),--((CTF!$C$6:$C$193)&gt;100000000000000),--((CTF!$C$6:$C$193)&lt;1000000000000000))</f>
        <v>0</v>
      </c>
      <c r="V7" s="57">
        <f t="shared" si="1"/>
        <v>176</v>
      </c>
      <c r="W7" s="3"/>
      <c r="X7" s="3"/>
    </row>
    <row r="8" spans="2:24" ht="11.25" customHeight="1" x14ac:dyDescent="0.3">
      <c r="B8" s="52">
        <v>3</v>
      </c>
      <c r="C8" s="43" t="e">
        <f>SUMPRODUCT(--(LEFT(CTF!#REF!)="3"))</f>
        <v>#REF!</v>
      </c>
      <c r="D8" s="43">
        <f>SUMPRODUCT(--(LEFT(CTF!C6:C435)="3"))</f>
        <v>107</v>
      </c>
      <c r="E8" s="43" t="e">
        <f>SUMPRODUCT(--(LEFT(CTF!$C$6:$C$249)="3"),--((CTF!#REF!)=0))</f>
        <v>#REF!</v>
      </c>
      <c r="F8" s="43" t="e">
        <f t="shared" si="0"/>
        <v>#REF!</v>
      </c>
      <c r="G8" s="53">
        <f>SUMPRODUCT(--(LEFT(CTF!$C$2:$C$5)="3"))</f>
        <v>1</v>
      </c>
      <c r="H8" s="59">
        <f>SUMPRODUCT(--(LEFT(CTF!$C$6:$C$435)="3"),--((CTF!$C$6:$C$435)&gt;10),--((CTF!$C$6:$C$435)&lt;99))</f>
        <v>5</v>
      </c>
      <c r="I8" s="43">
        <f>SUMPRODUCT(--(LEFT(CTF!$C$6:$C$435)="3"),--((CTF!$C$6:$C$435)&gt;100),--((CTF!$C$6:$C$435)&lt;999))</f>
        <v>14</v>
      </c>
      <c r="J8" s="43">
        <f>SUMPRODUCT(--(LEFT(CTF!$C$6:$C$435)="3"),--((CTF!$C$6:$C$435)&gt;1000),--((CTF!$C$6:$C$435)&lt;9999))</f>
        <v>18</v>
      </c>
      <c r="K8" s="43">
        <f>SUMPRODUCT(--(LEFT(CTF!$C$6:$C$435)="3"),--((CTF!$C$6:$C$435)&gt;10000),--((CTF!$C$6:$C$435)&lt;99999))</f>
        <v>21</v>
      </c>
      <c r="L8" s="43">
        <f>SUMPRODUCT(--(LEFT(CTF!$C$6:$C$435)="3"),--((CTF!$C$6:$C$435)&gt;100000),--((CTF!$C$6:$C$435)&lt;999999))</f>
        <v>17</v>
      </c>
      <c r="M8" s="43">
        <f>SUMPRODUCT(--(LEFT(CTF!$C$6:$C$435)="3"),--((CTF!$C$6:$C$435)&gt;1000000),--((CTF!$C$6:$C$435)&lt;9999999))</f>
        <v>16</v>
      </c>
      <c r="N8" s="43">
        <f>SUMPRODUCT(--(LEFT(CTF!$C$6:$C$435)="3"),--((CTF!$C$6:$C$435)&gt;10000000),--((CTF!$C$6:$C$435)&lt;99999999))</f>
        <v>6</v>
      </c>
      <c r="O8" s="43">
        <f>SUMPRODUCT(--(LEFT(CTF!$C$6:$C$435)="3"),--((CTF!$C$6:$C$435)&gt;100000000),--((CTF!$C$6:$C$435)&lt;999999999))</f>
        <v>7</v>
      </c>
      <c r="P8" s="43">
        <f>SUMPRODUCT(--(LEFT(CTF!$C$6:$C$435)="3"),--((CTF!$C$6:$C$435)&gt;1000000000),--((CTF!$C$6:$C$435)&lt;9999999999))</f>
        <v>3</v>
      </c>
      <c r="Q8" s="43">
        <f>SUMPRODUCT(--(LEFT(CTF!$C$6:$C$435)="2"),--((CTF!$C$6:$C$435)&gt;10000000000),--((CTF!$C$6:$C$435)&lt;99999999999))</f>
        <v>10</v>
      </c>
      <c r="R8" s="43">
        <f>SUMPRODUCT(--(LEFT(CTF!$C$6:$C$193)="2"),--((CTF!$C$6:$C$193)&gt;100000000000),--((CTF!$C$6:$C$193)&lt;999999999999))</f>
        <v>3</v>
      </c>
      <c r="S8" s="43">
        <f>SUMPRODUCT(--(LEFT(CTF!$C$6:$C$193)="3"),--((CTF!$C$6:$C$193)&gt;1000000000000),--((CTF!$C$6:$C$193)&lt;9999999999999))</f>
        <v>0</v>
      </c>
      <c r="T8" s="43">
        <f>SUMPRODUCT(--(LEFT(CTF!$C$6:$C$193)="3"),--((CTF!$C$6:$C$193)&gt;10000000000000),--((CTF!$C$6:$C$193)&lt;99999999999999))</f>
        <v>0</v>
      </c>
      <c r="U8" s="60">
        <f>SUMPRODUCT(--(LEFT(CTF!$C$6:$C$193)="3"),--((CTF!$C$6:$C$193)&gt;100000000000000),--((CTF!$C$6:$C$193)&lt;1000000000000000))</f>
        <v>0</v>
      </c>
      <c r="V8" s="57">
        <f t="shared" si="1"/>
        <v>120</v>
      </c>
      <c r="W8" s="3"/>
      <c r="X8" s="3"/>
    </row>
    <row r="9" spans="2:24" ht="11.25" customHeight="1" x14ac:dyDescent="0.3">
      <c r="B9" s="52">
        <v>4</v>
      </c>
      <c r="C9" s="43" t="e">
        <f>SUMPRODUCT(--(LEFT(CTF!#REF!)="4"))</f>
        <v>#REF!</v>
      </c>
      <c r="D9" s="43">
        <f>SUMPRODUCT(--(LEFT(CTF!C6:C435)="4"))</f>
        <v>39</v>
      </c>
      <c r="E9" s="43" t="e">
        <f>SUMPRODUCT(--(LEFT(CTF!$C$6:$C$249)="4"),--((CTF!#REF!)=0))</f>
        <v>#REF!</v>
      </c>
      <c r="F9" s="43" t="e">
        <f t="shared" si="0"/>
        <v>#REF!</v>
      </c>
      <c r="G9" s="53">
        <f>SUMPRODUCT(--(LEFT(CTF!$C$2:$C$5)="4"))</f>
        <v>1</v>
      </c>
      <c r="H9" s="59">
        <f>SUMPRODUCT(--(LEFT(CTF!$C$6:$C$435)="4"),--((CTF!$C$6:$C$435)&gt;10),--((CTF!$C$6:$C$435)&lt;99))</f>
        <v>6</v>
      </c>
      <c r="I9" s="43">
        <f>SUMPRODUCT(--(LEFT(CTF!$C$6:$C$435)="4"),--((CTF!$C$6:$C$435)&gt;100),--((CTF!$C$6:$C$435)&lt;999))</f>
        <v>7</v>
      </c>
      <c r="J9" s="43">
        <f>SUMPRODUCT(--(LEFT(CTF!$C$6:$C$435)="4"),--((CTF!$C$6:$C$435)&gt;1000),--((CTF!$C$6:$C$435)&lt;9999))</f>
        <v>10</v>
      </c>
      <c r="K9" s="43">
        <f>SUMPRODUCT(--(LEFT(CTF!$C$6:$C$435)="4"),--((CTF!$C$6:$C$435)&gt;10000),--((CTF!$C$6:$C$435)&lt;99999))</f>
        <v>7</v>
      </c>
      <c r="L9" s="43">
        <f>SUMPRODUCT(--(LEFT(CTF!$C$6:$C$435)="4"),--((CTF!$C$6:$C$435)&gt;100000),--((CTF!$C$6:$C$435)&lt;999999))</f>
        <v>5</v>
      </c>
      <c r="M9" s="43">
        <f>SUMPRODUCT(--(LEFT(CTF!$C$6:$C$435)="4"),--((CTF!$C$6:$C$435)&gt;1000000),--((CTF!$C$6:$C$435)&lt;9999999))</f>
        <v>4</v>
      </c>
      <c r="N9" s="43">
        <f>SUMPRODUCT(--(LEFT(CTF!$C$6:$C$435)="4"),--((CTF!$C$6:$C$435)&gt;10000000),--((CTF!$C$6:$C$435)&lt;99999999))</f>
        <v>0</v>
      </c>
      <c r="O9" s="43">
        <f>SUMPRODUCT(--(LEFT(CTF!$C$6:$C$435)="4"),--((CTF!$C$6:$C$435)&gt;100000000),--((CTF!$C$6:$C$435)&lt;999999999))</f>
        <v>0</v>
      </c>
      <c r="P9" s="43">
        <f>SUMPRODUCT(--(LEFT(CTF!$C$6:$C$435)="4"),--((CTF!$C$6:$C$435)&gt;1000000000),--((CTF!$C$6:$C$435)&lt;9999999999))</f>
        <v>0</v>
      </c>
      <c r="Q9" s="43">
        <f>SUMPRODUCT(--(LEFT(CTF!$C$6:$C$435)="2"),--((CTF!$C$6:$C$435)&gt;10000000000),--((CTF!$C$6:$C$435)&lt;99999999999))</f>
        <v>10</v>
      </c>
      <c r="R9" s="43">
        <f>SUMPRODUCT(--(LEFT(CTF!$C$6:$C$193)="2"),--((CTF!$C$6:$C$193)&gt;100000000000),--((CTF!$C$6:$C$193)&lt;999999999999))</f>
        <v>3</v>
      </c>
      <c r="S9" s="43">
        <f>SUMPRODUCT(--(LEFT(CTF!$C$6:$C$193)="4"),--((CTF!$C$6:$C$193)&gt;1000000000000),--((CTF!$C$6:$C$193)&lt;9999999999999))</f>
        <v>0</v>
      </c>
      <c r="T9" s="43">
        <f>SUMPRODUCT(--(LEFT(CTF!$C$6:$C$193)="4"),--((CTF!$C$6:$C$193)&gt;10000000000000),--((CTF!$C$6:$C$193)&lt;99999999999999))</f>
        <v>0</v>
      </c>
      <c r="U9" s="60">
        <f>SUMPRODUCT(--(LEFT(CTF!$C$6:$C$193)="4"),--((CTF!$C$6:$C$193)&gt;100000000000000),--((CTF!$C$6:$C$193)&lt;1000000000000000))</f>
        <v>0</v>
      </c>
      <c r="V9" s="57">
        <f t="shared" si="1"/>
        <v>52</v>
      </c>
      <c r="W9" s="3"/>
      <c r="X9" s="3"/>
    </row>
    <row r="10" spans="2:24" ht="11.25" customHeight="1" x14ac:dyDescent="0.3">
      <c r="B10" s="52">
        <v>5</v>
      </c>
      <c r="C10" s="43" t="e">
        <f>SUMPRODUCT(--(LEFT(CTF!#REF!)="5"))</f>
        <v>#REF!</v>
      </c>
      <c r="D10" s="43">
        <f>SUMPRODUCT(--(LEFT(CTF!C6:C249)="5"))</f>
        <v>0</v>
      </c>
      <c r="E10" s="43" t="e">
        <f>SUMPRODUCT(--(LEFT(CTF!$C$6:$C$249)="5"),--((CTF!#REF!)=0))</f>
        <v>#REF!</v>
      </c>
      <c r="F10" s="43" t="e">
        <f t="shared" si="0"/>
        <v>#REF!</v>
      </c>
      <c r="G10" s="53">
        <f>SUMPRODUCT(--(LEFT(CTF!$C$2:$C$5)="5"))</f>
        <v>0</v>
      </c>
      <c r="H10" s="59">
        <f>SUMPRODUCT(--(LEFT(CTF!$C$6:$C$249)="5"),--((CTF!$C$6:$C$249)&gt;10),--((CTF!$C$6:$C$249)&lt;99))</f>
        <v>0</v>
      </c>
      <c r="I10" s="43">
        <f>SUMPRODUCT(--(LEFT(CTF!$C$6:$C$249)="5"),--((CTF!$C$6:$C$249)&gt;100),--((CTF!$C$6:$C$249)&lt;999))</f>
        <v>0</v>
      </c>
      <c r="J10" s="43">
        <f>SUMPRODUCT(--(LEFT(CTF!$C$6:$C$249)="5"),--((CTF!$C$6:$C$249)&gt;1000),--((CTF!$C$6:$C$249)&lt;9999))</f>
        <v>0</v>
      </c>
      <c r="K10" s="43">
        <f>SUMPRODUCT(--(LEFT(CTF!$C$6:$C$249)="5"),--((CTF!$C$6:$C$249)&gt;10000),--((CTF!$C$6:$C$249)&lt;99999))</f>
        <v>0</v>
      </c>
      <c r="L10" s="43">
        <f>SUMPRODUCT(--(LEFT(CTF!$C$6:$C$249)="5"),--((CTF!$C$6:$C$249)&gt;100000),--((CTF!$C$6:$C$249)&lt;999999))</f>
        <v>0</v>
      </c>
      <c r="M10" s="43">
        <f>SUMPRODUCT(--(LEFT(CTF!$C$6:$C$249)="5"),--((CTF!$C$6:$C$249)&gt;1000000),--((CTF!$C$6:$C$249)&lt;9999999))</f>
        <v>0</v>
      </c>
      <c r="N10" s="43">
        <f>SUMPRODUCT(--(LEFT(CTF!$C$6:$C$249)="5"),--((CTF!$C$6:$C$249)&gt;10000000),--((CTF!$C$6:$C$249)&lt;99999999))</f>
        <v>0</v>
      </c>
      <c r="O10" s="43">
        <f>SUMPRODUCT(--(LEFT(CTF!$C$6:$C$193)="5"),--((CTF!$C$6:$C$193)&gt;100000000),--((CTF!$C$6:$C$193)&lt;999999999))</f>
        <v>0</v>
      </c>
      <c r="P10" s="43">
        <f>SUMPRODUCT(--(LEFT(CTF!$C$6:$C$193)="5"),--((CTF!$C$6:$C$193)&gt;1000000000),--((CTF!$C$6:$C$193)&lt;9999999999))</f>
        <v>0</v>
      </c>
      <c r="Q10" s="43">
        <f>SUMPRODUCT(--(LEFT(CTF!$C$6:$C$193)="5"),--((CTF!$C$6:$C$193)&gt;10000000000),--((CTF!$C$6:$C$193)&lt;99999999999))</f>
        <v>0</v>
      </c>
      <c r="R10" s="43">
        <f>SUMPRODUCT(--(LEFT(CTF!$C$6:$C$193)="5"),--((CTF!$C$6:$C$193)&gt;100000000000),--((CTF!$C$6:$C$193)&lt;999999999999))</f>
        <v>0</v>
      </c>
      <c r="S10" s="43">
        <f>SUMPRODUCT(--(LEFT(CTF!$C$6:$C$193)="5"),--((CTF!$C$6:$C$193)&gt;1000000000000),--((CTF!$C$6:$C$193)&lt;9999999999999))</f>
        <v>0</v>
      </c>
      <c r="T10" s="43">
        <f>SUMPRODUCT(--(LEFT(CTF!$C$6:$C$193)="5"),--((CTF!$C$6:$C$193)&gt;10000000000000),--((CTF!$C$6:$C$193)&lt;99999999999999))</f>
        <v>0</v>
      </c>
      <c r="U10" s="60">
        <f>SUMPRODUCT(--(LEFT(CTF!$C$6:$C$193)="5"),--((CTF!$C$6:$C$193)&gt;100000000000000),--((CTF!$C$6:$C$193)&lt;1000000000000000))</f>
        <v>0</v>
      </c>
      <c r="V10" s="57">
        <f t="shared" si="1"/>
        <v>0</v>
      </c>
      <c r="W10" s="3"/>
      <c r="X10" s="3" t="s">
        <v>0</v>
      </c>
    </row>
    <row r="11" spans="2:24" ht="11.25" customHeight="1" x14ac:dyDescent="0.3">
      <c r="B11" s="52">
        <v>6</v>
      </c>
      <c r="C11" s="43" t="e">
        <f>SUMPRODUCT(--(LEFT(CTF!#REF!)="6"))</f>
        <v>#REF!</v>
      </c>
      <c r="D11" s="43">
        <f>SUMPRODUCT(--(LEFT(CTF!C6:C249)="6"))</f>
        <v>0</v>
      </c>
      <c r="E11" s="43" t="e">
        <f>SUMPRODUCT(--(LEFT(CTF!$C$6:$C$249)="6"),--((CTF!#REF!)=0))</f>
        <v>#REF!</v>
      </c>
      <c r="F11" s="43" t="e">
        <f t="shared" si="0"/>
        <v>#REF!</v>
      </c>
      <c r="G11" s="53">
        <f>SUMPRODUCT(--(LEFT(CTF!$C$2:$C$5)="6"))</f>
        <v>0</v>
      </c>
      <c r="H11" s="59">
        <f>SUMPRODUCT(--(LEFT(CTF!$C$6:$C$249)="6"),--((CTF!$C$6:$C$249)&gt;10),--((CTF!$C$6:$C$249)&lt;99))</f>
        <v>0</v>
      </c>
      <c r="I11" s="43">
        <f>SUMPRODUCT(--(LEFT(CTF!$C$6:$C$249)="6"),--((CTF!$C$6:$C$249)&gt;100),--((CTF!$C$6:$C$249)&lt;999))</f>
        <v>0</v>
      </c>
      <c r="J11" s="43">
        <f>SUMPRODUCT(--(LEFT(CTF!$C$6:$C$249)="6"),--((CTF!$C$6:$C$249)&gt;1000),--((CTF!$C$6:$C$249)&lt;9999))</f>
        <v>0</v>
      </c>
      <c r="K11" s="43">
        <f>SUMPRODUCT(--(LEFT(CTF!$C$6:$C$249)="6"),--((CTF!$C$6:$C$249)&gt;10000),--((CTF!$C$6:$C$249)&lt;99999))</f>
        <v>0</v>
      </c>
      <c r="L11" s="43">
        <f>SUMPRODUCT(--(LEFT(CTF!$C$6:$C$249)="6"),--((CTF!$C$6:$C$249)&gt;100000),--((CTF!$C$6:$C$249)&lt;999999))</f>
        <v>0</v>
      </c>
      <c r="M11" s="43">
        <f>SUMPRODUCT(--(LEFT(CTF!$C$6:$C$249)="6"),--((CTF!$C$6:$C$249)&gt;1000000),--((CTF!$C$6:$C$249)&lt;9999999))</f>
        <v>0</v>
      </c>
      <c r="N11" s="43">
        <f>SUMPRODUCT(--(LEFT(CTF!$C$6:$C$249)="6"),--((CTF!$C$6:$C$249)&gt;10000000),--((CTF!$C$6:$C$249)&lt;99999999))</f>
        <v>0</v>
      </c>
      <c r="O11" s="43">
        <f>SUMPRODUCT(--(LEFT(CTF!$C$6:$C$193)="6"),--((CTF!$C$6:$C$193)&gt;100000000),--((CTF!$C$6:$C$193)&lt;999999999))</f>
        <v>0</v>
      </c>
      <c r="P11" s="43">
        <f>SUMPRODUCT(--(LEFT(CTF!$C$6:$C$193)="6"),--((CTF!$C$6:$C$193)&gt;1000000000),--((CTF!$C$6:$C$193)&lt;9999999999))</f>
        <v>0</v>
      </c>
      <c r="Q11" s="43">
        <f>SUMPRODUCT(--(LEFT(CTF!$C$6:$C$193)="6"),--((CTF!$C$6:$C$193)&gt;10000000000),--((CTF!$C$6:$C$193)&lt;99999999999))</f>
        <v>0</v>
      </c>
      <c r="R11" s="43">
        <f>SUMPRODUCT(--(LEFT(CTF!$C$6:$C$193)="6"),--((CTF!$C$6:$C$193)&gt;100000000000),--((CTF!$C$6:$C$193)&lt;999999999999))</f>
        <v>0</v>
      </c>
      <c r="S11" s="43">
        <f>SUMPRODUCT(--(LEFT(CTF!$C$6:$C$193)="6"),--((CTF!$C$6:$C$193)&gt;1000000000000),--((CTF!$C$6:$C$193)&lt;9999999999999))</f>
        <v>0</v>
      </c>
      <c r="T11" s="43">
        <f>SUMPRODUCT(--(LEFT(CTF!$C$6:$C$193)="6"),--((CTF!$C$6:$C$193)&gt;10000000000000),--((CTF!$C$6:$C$193)&lt;99999999999999))</f>
        <v>0</v>
      </c>
      <c r="U11" s="60">
        <f>SUMPRODUCT(--(LEFT(CTF!$C$6:$C$193)="6"),--((CTF!$C$6:$C$193)&gt;100000000000000),--((CTF!$C$6:$C$193)&lt;1000000000000000))</f>
        <v>0</v>
      </c>
      <c r="V11" s="57">
        <f t="shared" si="1"/>
        <v>0</v>
      </c>
      <c r="W11" s="3"/>
      <c r="X11" s="3" t="s">
        <v>0</v>
      </c>
    </row>
    <row r="12" spans="2:24" ht="11.25" customHeight="1" x14ac:dyDescent="0.3">
      <c r="B12" s="52">
        <v>7</v>
      </c>
      <c r="C12" s="43" t="e">
        <f>SUMPRODUCT(--(LEFT(CTF!#REF!)="7"))</f>
        <v>#REF!</v>
      </c>
      <c r="D12" s="43">
        <f>SUMPRODUCT(--(LEFT(CTF!C6:C193)="7"))</f>
        <v>0</v>
      </c>
      <c r="E12" s="43" t="e">
        <f>SUMPRODUCT(--(LEFT(CTF!$C$6:$C$249)="7"),--((CTF!#REF!)=0))</f>
        <v>#REF!</v>
      </c>
      <c r="F12" s="43" t="e">
        <f t="shared" si="0"/>
        <v>#REF!</v>
      </c>
      <c r="G12" s="53">
        <f>SUMPRODUCT(--(LEFT(CTF!$C$2:$C$5)="7"))</f>
        <v>0</v>
      </c>
      <c r="H12" s="59">
        <f>SUMPRODUCT(--(LEFT(CTF!$C$6:$C$193)="7"),--((CTF!$C$6:$C$193)&gt;10),--((CTF!$C$6:$C$193)&lt;99))</f>
        <v>0</v>
      </c>
      <c r="I12" s="43">
        <f>SUMPRODUCT(--(LEFT(CTF!$C$6:$C$249)="7"),--((CTF!$C$6:$C$249)&gt;100),--((CTF!$C$6:$C$249)&lt;999))</f>
        <v>0</v>
      </c>
      <c r="J12" s="43">
        <f>SUMPRODUCT(--(LEFT(CTF!$C$6:$C$193)="7"),--((CTF!$C$6:$C$193)&gt;1000),--((CTF!$C$6:$C$193)&lt;9999))</f>
        <v>0</v>
      </c>
      <c r="K12" s="43">
        <f>SUMPRODUCT(--(LEFT(CTF!$C$6:$C$249)="7"),--((CTF!$C$6:$C$249)&gt;10000),--((CTF!$C$6:$C$249)&lt;99999))</f>
        <v>0</v>
      </c>
      <c r="L12" s="43">
        <f>SUMPRODUCT(--(LEFT(CTF!$C$6:$C$193)="7"),--((CTF!$C$6:$C$193)&gt;100000),--((CTF!$C$6:$C$193)&lt;999999))</f>
        <v>0</v>
      </c>
      <c r="M12" s="43">
        <f>SUMPRODUCT(--(LEFT(CTF!$C$6:$C$249)="7"),--((CTF!$C$6:$C$249)&gt;1000000),--((CTF!$C$6:$C$249)&lt;9999999))</f>
        <v>0</v>
      </c>
      <c r="N12" s="43">
        <f>SUMPRODUCT(--(LEFT(CTF!$C$6:$C$193)="7"),--((CTF!$C$6:$C$193)&gt;10000000),--((CTF!$C$6:$C$193)&lt;99999999))</f>
        <v>0</v>
      </c>
      <c r="O12" s="43">
        <f>SUMPRODUCT(--(LEFT(CTF!$C$6:$C$193)="7"),--((CTF!$C$6:$C$193)&gt;100000000),--((CTF!$C$6:$C$193)&lt;999999999))</f>
        <v>0</v>
      </c>
      <c r="P12" s="43">
        <f>SUMPRODUCT(--(LEFT(CTF!$C$6:$C$193)="7"),--((CTF!$C$6:$C$193)&gt;1000000000),--((CTF!$C$6:$C$193)&lt;9999999999))</f>
        <v>0</v>
      </c>
      <c r="Q12" s="43">
        <f>SUMPRODUCT(--(LEFT(CTF!$C$6:$C$193)="7"),--((CTF!$C$6:$C$193)&gt;10000000000),--((CTF!$C$6:$C$193)&lt;99999999999))</f>
        <v>0</v>
      </c>
      <c r="R12" s="43">
        <f>SUMPRODUCT(--(LEFT(CTF!$C$6:$C$193)="7"),--((CTF!$C$6:$C$193)&gt;100000000000),--((CTF!$C$6:$C$193)&lt;999999999999))</f>
        <v>0</v>
      </c>
      <c r="S12" s="43">
        <f>SUMPRODUCT(--(LEFT(CTF!$C$6:$C$193)="7"),--((CTF!$C$6:$C$193)&gt;1000000000000),--((CTF!$C$6:$C$193)&lt;9999999999999))</f>
        <v>0</v>
      </c>
      <c r="T12" s="43">
        <f>SUMPRODUCT(--(LEFT(CTF!$C$6:$C$193)="7"),--((CTF!$C$6:$C$193)&gt;10000000000000),--((CTF!$C$6:$C$193)&lt;99999999999999))</f>
        <v>0</v>
      </c>
      <c r="U12" s="60">
        <f>SUMPRODUCT(--(LEFT(CTF!$C$6:$C$193)="7"),--((CTF!$C$6:$C$193)&gt;100000000000000),--((CTF!$C$6:$C$193)&lt;1000000000000000))</f>
        <v>0</v>
      </c>
      <c r="V12" s="57">
        <f t="shared" si="1"/>
        <v>0</v>
      </c>
      <c r="W12" s="3"/>
      <c r="X12" s="3"/>
    </row>
    <row r="13" spans="2:24" ht="11.25" customHeight="1" x14ac:dyDescent="0.3">
      <c r="B13" s="52">
        <v>8</v>
      </c>
      <c r="C13" s="43" t="e">
        <f>SUMPRODUCT(--(LEFT(CTF!#REF!)="8"))</f>
        <v>#REF!</v>
      </c>
      <c r="D13" s="43">
        <f>SUMPRODUCT(--(LEFT(CTF!C6:C193)="8"))</f>
        <v>0</v>
      </c>
      <c r="E13" s="43" t="e">
        <f>SUMPRODUCT(--(LEFT(CTF!$C$6:$C$249)="8"),--((CTF!#REF!)=0))</f>
        <v>#REF!</v>
      </c>
      <c r="F13" s="43" t="e">
        <f t="shared" si="0"/>
        <v>#REF!</v>
      </c>
      <c r="G13" s="53">
        <f>SUMPRODUCT(--(LEFT(CTF!$C$2:$C$5)="8"))</f>
        <v>0</v>
      </c>
      <c r="H13" s="59">
        <f>SUMPRODUCT(--(LEFT(CTF!$C$6:$C$193)="8"),--((CTF!$C$6:$C$193)&gt;10),--((CTF!$C$6:$C$193)&lt;99))</f>
        <v>0</v>
      </c>
      <c r="I13" s="43">
        <f>SUMPRODUCT(--(LEFT(CTF!$C$6:$C$193)="8"),--((CTF!$C$6:$C$193)&gt;100),--((CTF!$C$6:$C$193)&lt;999))</f>
        <v>0</v>
      </c>
      <c r="J13" s="43">
        <f>SUMPRODUCT(--(LEFT(CTF!$C$6:$C$193)="8"),--((CTF!$C$6:$C$193)&gt;1000),--((CTF!$C$6:$C$193)&lt;9999))</f>
        <v>0</v>
      </c>
      <c r="K13" s="43">
        <f>SUMPRODUCT(--(LEFT(CTF!$C$6:$C$193)="8"),--((CTF!$C$6:$C$193)&gt;10000),--((CTF!$C$6:$C$193)&lt;99999))</f>
        <v>0</v>
      </c>
      <c r="L13" s="43">
        <f>SUMPRODUCT(--(LEFT(CTF!$C$6:$C$193)="8"),--((CTF!$C$6:$C$193)&gt;100000),--((CTF!$C$6:$C$193)&lt;999999))</f>
        <v>0</v>
      </c>
      <c r="M13" s="43">
        <f>SUMPRODUCT(--(LEFT(CTF!$C$6:$C$193)="8"),--((CTF!$C$6:$C$193)&gt;1000000),--((CTF!$C$6:$C$193)&lt;9999999))</f>
        <v>0</v>
      </c>
      <c r="N13" s="43">
        <f>SUMPRODUCT(--(LEFT(CTF!$C$6:$C$193)="8"),--((CTF!$C$6:$C$193)&gt;10000000),--((CTF!$C$6:$C$193)&lt;99999999))</f>
        <v>0</v>
      </c>
      <c r="O13" s="43">
        <f>SUMPRODUCT(--(LEFT(CTF!$C$6:$C$193)="8"),--((CTF!$C$6:$C$193)&gt;100000000),--((CTF!$C$6:$C$193)&lt;999999999))</f>
        <v>0</v>
      </c>
      <c r="P13" s="43">
        <f>SUMPRODUCT(--(LEFT(CTF!$C$6:$C$193)="8"),--((CTF!$C$6:$C$193)&gt;1000000000),--((CTF!$C$6:$C$193)&lt;9999999999))</f>
        <v>0</v>
      </c>
      <c r="Q13" s="43">
        <f>SUMPRODUCT(--(LEFT(CTF!$C$6:$C$193)="8"),--((CTF!$C$6:$C$193)&gt;10000000000),--((CTF!$C$6:$C$193)&lt;99999999999))</f>
        <v>0</v>
      </c>
      <c r="R13" s="43">
        <f>SUMPRODUCT(--(LEFT(CTF!$C$6:$C$193)="8"),--((CTF!$C$6:$C$193)&gt;100000000000),--((CTF!$C$6:$C$193)&lt;999999999999))</f>
        <v>0</v>
      </c>
      <c r="S13" s="43">
        <f>SUMPRODUCT(--(LEFT(CTF!$C$6:$C$193)="8"),--((CTF!$C$6:$C$193)&gt;1000000000000),--((CTF!$C$6:$C$193)&lt;9999999999999))</f>
        <v>0</v>
      </c>
      <c r="T13" s="43">
        <f>SUMPRODUCT(--(LEFT(CTF!$C$6:$C$193)="8"),--((CTF!$C$6:$C$193)&gt;10000000000000),--((CTF!$C$6:$C$193)&lt;99999999999999))</f>
        <v>0</v>
      </c>
      <c r="U13" s="60">
        <f>SUMPRODUCT(--(LEFT(CTF!$C$6:$C$193)="8"),--((CTF!$C$6:$C$193)&gt;100000000000000),--((CTF!$C$6:$C$193)&lt;1000000000000000))</f>
        <v>0</v>
      </c>
      <c r="V13" s="57">
        <f t="shared" si="1"/>
        <v>0</v>
      </c>
      <c r="W13" s="3"/>
      <c r="X13" s="3"/>
    </row>
    <row r="14" spans="2:24" ht="12" customHeight="1" x14ac:dyDescent="0.3">
      <c r="B14" s="61">
        <v>9</v>
      </c>
      <c r="C14" s="62" t="e">
        <f>SUMPRODUCT(--(LEFT(CTF!#REF!)="9"))</f>
        <v>#REF!</v>
      </c>
      <c r="D14" s="62">
        <f>SUMPRODUCT(--(LEFT(CTF!C6:C187)="9"))</f>
        <v>0</v>
      </c>
      <c r="E14" s="62" t="e">
        <f>SUMPRODUCT(--(LEFT(CTF!$C$6:$C$249)="9"),--((CTF!#REF!)=0))</f>
        <v>#REF!</v>
      </c>
      <c r="F14" s="63" t="e">
        <f t="shared" si="0"/>
        <v>#REF!</v>
      </c>
      <c r="G14" s="62">
        <f>SUMPRODUCT(--(LEFT(CTF!$C$2:$C$5)="9"))</f>
        <v>0</v>
      </c>
      <c r="H14" s="64">
        <f>SUMPRODUCT(--(LEFT(CTF!$C$6:$C$193)="9"),--((CTF!$C$6:$C$193)&gt;10),--((CTF!$C$6:$C$193)&lt;99))</f>
        <v>0</v>
      </c>
      <c r="I14" s="62">
        <f>SUMPRODUCT(--(LEFT(CTF!$C$6:$C$193)="9"),--((CTF!$C$6:$C$193)&gt;100),--((CTF!$C$6:$C$193)&lt;999))</f>
        <v>0</v>
      </c>
      <c r="J14" s="62">
        <f>SUMPRODUCT(--(LEFT(CTF!$C$6:$C$193)="9"),--((CTF!$C$6:$C$193)&gt;1000),--((CTF!$C$6:$C$193)&lt;9999))</f>
        <v>0</v>
      </c>
      <c r="K14" s="62">
        <f>SUMPRODUCT(--(LEFT(CTF!$C$6:$C$193)="9"),--((CTF!$C$6:$C$193)&gt;10000),--((CTF!$C$6:$C$193)&lt;99999))</f>
        <v>0</v>
      </c>
      <c r="L14" s="62">
        <f>SUMPRODUCT(--(LEFT(CTF!$C$6:$C$193)="9"),--((CTF!$C$6:$C$193)&gt;100000),--((CTF!$C$6:$C$193)&lt;999999))</f>
        <v>0</v>
      </c>
      <c r="M14" s="62">
        <f>SUMPRODUCT(--(LEFT(CTF!$C$6:$C$193)="9"),--((CTF!$C$6:$C$193)&gt;1000000),--((CTF!$C$6:$C$193)&lt;9999999))</f>
        <v>0</v>
      </c>
      <c r="N14" s="62">
        <f>SUMPRODUCT(--(LEFT(CTF!$C$6:$C$193)="9"),--((CTF!$C$6:$C$193)&gt;10000000),--((CTF!$C$6:$C$193)&lt;99999999))</f>
        <v>0</v>
      </c>
      <c r="O14" s="62">
        <f>SUMPRODUCT(--(LEFT(CTF!$C$6:$C$193)="9"),--((CTF!$C$6:$C$193)&gt;100000000),--((CTF!$C$6:$C$193)&lt;999999999))</f>
        <v>0</v>
      </c>
      <c r="P14" s="62">
        <f>SUMPRODUCT(--(LEFT(CTF!$C$6:$C$193)="9"),--((CTF!$C$6:$C$193)&gt;1000000000),--((CTF!$C$6:$C$193)&lt;9999999999))</f>
        <v>0</v>
      </c>
      <c r="Q14" s="62">
        <f>SUMPRODUCT(--(LEFT(CTF!$C$6:$C$193)="9"),--((CTF!$C$6:$C$193)&gt;10000000000),--((CTF!$C$6:$C$193)&lt;99999999999))</f>
        <v>0</v>
      </c>
      <c r="R14" s="62">
        <f>SUMPRODUCT(--(LEFT(CTF!$C$6:$C$193)="9"),--((CTF!$C$6:$C$193)&gt;100000000000),--((CTF!$C$6:$C$193)&lt;999999999999))</f>
        <v>0</v>
      </c>
      <c r="S14" s="62">
        <f>SUMPRODUCT(--(LEFT(CTF!$C$6:$C$193)="9"),--((CTF!$C$6:$C$193)&gt;1000000000000),--((CTF!$C$6:$C$193)&lt;9999999999999))</f>
        <v>0</v>
      </c>
      <c r="T14" s="62">
        <f>SUMPRODUCT(--(LEFT(CTF!$C$6:$C$193)="9"),--((CTF!$C$6:$C$193)&gt;10000000000000),--((CTF!$C$6:$C$193)&lt;99999999999999))</f>
        <v>0</v>
      </c>
      <c r="U14" s="63">
        <f>SUMPRODUCT(--(LEFT(CTF!$C$6:$C$193)="9"),--((CTF!$C$6:$C$193)&gt;100000000000000),--((CTF!$C$6:$C$193)&lt;1000000000000000))</f>
        <v>0</v>
      </c>
      <c r="V14" s="65">
        <f t="shared" si="1"/>
        <v>0</v>
      </c>
      <c r="W14" s="3"/>
      <c r="X14" s="3"/>
    </row>
    <row r="15" spans="2:24" ht="22.5" customHeight="1" x14ac:dyDescent="0.3">
      <c r="B15" s="66"/>
      <c r="C15" s="67" t="e">
        <f t="shared" ref="C15:F15" si="2">SUM(C6:C14)</f>
        <v>#REF!</v>
      </c>
      <c r="D15" s="67">
        <f t="shared" si="2"/>
        <v>430</v>
      </c>
      <c r="E15" s="68" t="e">
        <f t="shared" si="2"/>
        <v>#REF!</v>
      </c>
      <c r="F15" s="68" t="e">
        <f t="shared" si="2"/>
        <v>#REF!</v>
      </c>
      <c r="G15" s="66"/>
      <c r="H15" s="69">
        <f t="shared" ref="H15:V15" si="3">SUM(H6:H14)</f>
        <v>19</v>
      </c>
      <c r="I15" s="69">
        <f t="shared" si="3"/>
        <v>40</v>
      </c>
      <c r="J15" s="69">
        <f t="shared" si="3"/>
        <v>49</v>
      </c>
      <c r="K15" s="69">
        <f t="shared" si="3"/>
        <v>56</v>
      </c>
      <c r="L15" s="69">
        <f t="shared" si="3"/>
        <v>62</v>
      </c>
      <c r="M15" s="69">
        <f t="shared" si="3"/>
        <v>63</v>
      </c>
      <c r="N15" s="69">
        <f t="shared" si="3"/>
        <v>64</v>
      </c>
      <c r="O15" s="69">
        <f t="shared" si="3"/>
        <v>35</v>
      </c>
      <c r="P15" s="69">
        <f t="shared" si="3"/>
        <v>24</v>
      </c>
      <c r="Q15" s="69">
        <f t="shared" si="3"/>
        <v>32</v>
      </c>
      <c r="R15" s="69">
        <f t="shared" si="3"/>
        <v>9</v>
      </c>
      <c r="S15" s="69">
        <f t="shared" si="3"/>
        <v>0</v>
      </c>
      <c r="T15" s="69">
        <f t="shared" si="3"/>
        <v>0</v>
      </c>
      <c r="U15" s="69">
        <f t="shared" si="3"/>
        <v>0</v>
      </c>
      <c r="V15" s="70">
        <f t="shared" si="3"/>
        <v>453</v>
      </c>
      <c r="W15" s="3"/>
      <c r="X15" s="3"/>
    </row>
    <row r="17" spans="3:23" ht="11.25" customHeight="1" x14ac:dyDescent="0.3">
      <c r="C17" s="3"/>
      <c r="D17" s="3"/>
      <c r="E17" s="3"/>
      <c r="F17" s="3"/>
      <c r="G17" s="3"/>
      <c r="H17" s="3"/>
      <c r="I17" s="3"/>
      <c r="J17" s="3"/>
      <c r="K17" s="3"/>
      <c r="L17" s="3"/>
      <c r="M17" s="3"/>
      <c r="N17" s="3"/>
      <c r="O17" s="3"/>
      <c r="P17" s="3"/>
      <c r="Q17" s="3"/>
      <c r="R17" s="3"/>
      <c r="S17" s="3"/>
      <c r="T17" s="3"/>
      <c r="U17" s="3"/>
      <c r="V17" s="43"/>
      <c r="W17" s="3" t="s">
        <v>0</v>
      </c>
    </row>
    <row r="18" spans="3:23" ht="11.25" customHeight="1" x14ac:dyDescent="0.3">
      <c r="C18" s="97" t="s">
        <v>477</v>
      </c>
      <c r="D18" s="98"/>
      <c r="E18" s="71" t="e">
        <f>D15-E15</f>
        <v>#REF!</v>
      </c>
      <c r="F18" s="3" t="s">
        <v>0</v>
      </c>
      <c r="G18" s="3"/>
      <c r="H18" s="72">
        <f>10*3</f>
        <v>30</v>
      </c>
      <c r="I18" s="72">
        <f t="shared" ref="I18:O18" si="4">+H18*3</f>
        <v>90</v>
      </c>
      <c r="J18" s="72">
        <f t="shared" si="4"/>
        <v>270</v>
      </c>
      <c r="K18" s="72">
        <f t="shared" si="4"/>
        <v>810</v>
      </c>
      <c r="L18" s="72">
        <f t="shared" si="4"/>
        <v>2430</v>
      </c>
      <c r="M18" s="72">
        <f t="shared" si="4"/>
        <v>7290</v>
      </c>
      <c r="N18" s="72">
        <f t="shared" si="4"/>
        <v>21870</v>
      </c>
      <c r="O18" s="72">
        <f t="shared" si="4"/>
        <v>65610</v>
      </c>
      <c r="P18" s="73"/>
      <c r="Q18" s="73"/>
      <c r="R18" s="73"/>
      <c r="S18" s="73"/>
      <c r="T18" s="73"/>
      <c r="U18" s="73"/>
      <c r="V18" s="43"/>
      <c r="W18" s="3"/>
    </row>
    <row r="19" spans="3:23" ht="11.25" customHeight="1" x14ac:dyDescent="0.3">
      <c r="C19" s="97" t="s">
        <v>478</v>
      </c>
      <c r="D19" s="98"/>
      <c r="E19" s="71" t="e">
        <f>E15</f>
        <v>#REF!</v>
      </c>
      <c r="F19" s="3"/>
      <c r="G19" s="3"/>
      <c r="H19" s="72">
        <f t="shared" ref="H19:O19" si="5">+H18-H15</f>
        <v>11</v>
      </c>
      <c r="I19" s="72">
        <f t="shared" si="5"/>
        <v>50</v>
      </c>
      <c r="J19" s="72">
        <f t="shared" si="5"/>
        <v>221</v>
      </c>
      <c r="K19" s="72">
        <f t="shared" si="5"/>
        <v>754</v>
      </c>
      <c r="L19" s="72">
        <f t="shared" si="5"/>
        <v>2368</v>
      </c>
      <c r="M19" s="72">
        <f t="shared" si="5"/>
        <v>7227</v>
      </c>
      <c r="N19" s="72">
        <f t="shared" si="5"/>
        <v>21806</v>
      </c>
      <c r="O19" s="72">
        <f t="shared" si="5"/>
        <v>65575</v>
      </c>
      <c r="P19" s="73"/>
      <c r="Q19" s="73"/>
      <c r="R19" s="73"/>
      <c r="S19" s="73"/>
      <c r="T19" s="73"/>
      <c r="U19" s="73"/>
      <c r="V19" s="43"/>
      <c r="W19" s="3"/>
    </row>
  </sheetData>
  <mergeCells count="2">
    <mergeCell ref="C18:D18"/>
    <mergeCell ref="C19:D19"/>
  </mergeCells>
  <conditionalFormatting sqref="C6:F14 H6:V14 G14">
    <cfRule type="cellIs" dxfId="1" priority="2" operator="equal">
      <formula>0</formula>
    </cfRule>
  </conditionalFormatting>
  <conditionalFormatting sqref="G6:G13">
    <cfRule type="cellIs" dxfId="0" priority="1" operator="equal">
      <formula>0</formula>
    </cfRule>
  </conditionalFormatting>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E9"/>
  <sheetViews>
    <sheetView workbookViewId="0"/>
  </sheetViews>
  <sheetFormatPr defaultColWidth="14.3984375" defaultRowHeight="15" customHeight="1" x14ac:dyDescent="0.3"/>
  <cols>
    <col min="1" max="2" width="9.09765625" customWidth="1"/>
    <col min="3" max="3" width="3.3984375" customWidth="1"/>
    <col min="4" max="4" width="54.69921875" customWidth="1"/>
    <col min="5" max="5" width="3.3984375" customWidth="1"/>
    <col min="6" max="6" width="9.09765625" customWidth="1"/>
    <col min="7" max="26" width="8" customWidth="1"/>
  </cols>
  <sheetData>
    <row r="2" spans="3:5" ht="12.75" customHeight="1" x14ac:dyDescent="0.3">
      <c r="C2" s="99" t="s">
        <v>479</v>
      </c>
      <c r="D2" s="100"/>
      <c r="E2" s="101"/>
    </row>
    <row r="3" spans="3:5" ht="12.75" customHeight="1" x14ac:dyDescent="0.3">
      <c r="C3" s="102"/>
      <c r="D3" s="103"/>
      <c r="E3" s="104"/>
    </row>
    <row r="4" spans="3:5" ht="12.75" customHeight="1" x14ac:dyDescent="0.3">
      <c r="C4" s="74"/>
      <c r="D4" s="74"/>
      <c r="E4" s="74"/>
    </row>
    <row r="5" spans="3:5" ht="18.75" customHeight="1" x14ac:dyDescent="0.3">
      <c r="C5" s="75"/>
      <c r="D5" s="76"/>
      <c r="E5" s="77"/>
    </row>
    <row r="6" spans="3:5" ht="135.75" customHeight="1" x14ac:dyDescent="0.3">
      <c r="C6" s="78"/>
      <c r="D6" s="79" t="s">
        <v>480</v>
      </c>
      <c r="E6" s="80"/>
    </row>
    <row r="7" spans="3:5" ht="80.25" customHeight="1" x14ac:dyDescent="0.3">
      <c r="C7" s="78"/>
      <c r="D7" s="81" t="s">
        <v>481</v>
      </c>
      <c r="E7" s="80"/>
    </row>
    <row r="8" spans="3:5" ht="105.75" customHeight="1" x14ac:dyDescent="0.3">
      <c r="C8" s="78"/>
      <c r="D8" s="81" t="s">
        <v>482</v>
      </c>
      <c r="E8" s="80"/>
    </row>
    <row r="9" spans="3:5" ht="62.25" customHeight="1" x14ac:dyDescent="0.3">
      <c r="C9" s="78"/>
      <c r="D9" s="82" t="s">
        <v>483</v>
      </c>
      <c r="E9" s="80"/>
    </row>
  </sheetData>
  <mergeCells count="1">
    <mergeCell ref="C2:E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CTF</vt:lpstr>
      <vt:lpstr>CHECK</vt:lpstr>
      <vt:lpstr>STAT</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Kaberia</dc:creator>
  <cp:lastModifiedBy>Peter Kaberia</cp:lastModifiedBy>
  <dcterms:created xsi:type="dcterms:W3CDTF">2025-01-14T21:33:11Z</dcterms:created>
  <dcterms:modified xsi:type="dcterms:W3CDTF">2025-01-14T21:33:11Z</dcterms:modified>
</cp:coreProperties>
</file>